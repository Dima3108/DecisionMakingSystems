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1eca9650c245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тоги" sheetId="1" r:id="Rf42f7488baf84d80"/>
    <x:sheet xmlns:r="http://schemas.openxmlformats.org/officeDocument/2006/relationships" name="Выбранные 40" sheetId="2" r:id="R6cb63aadedca4ce9"/>
    <x:sheet xmlns:r="http://schemas.openxmlformats.org/officeDocument/2006/relationships" name="Годовые данные" sheetId="3" r:id="Raa9ebf78e6c24a10"/>
    <x:sheet xmlns:r="http://schemas.openxmlformats.org/officeDocument/2006/relationships" name="Рейтинг и топ-6" sheetId="4" r:id="R9a6117d8652b4fc1"/>
    <x:sheet xmlns:r="http://schemas.openxmlformats.org/officeDocument/2006/relationships" name="Топ-6 детали" sheetId="5" r:id="R5a4278dd4db249a6"/>
    <x:sheet xmlns:r="http://schemas.openxmlformats.org/officeDocument/2006/relationships" name="Квартально" sheetId="6" r:id="R204fa5b095854f71"/>
    <x:sheet xmlns:r="http://schemas.openxmlformats.org/officeDocument/2006/relationships" name="Графики" sheetId="7" r:id="R5766c4018b4649ef"/>
    <x:sheet xmlns:r="http://schemas.openxmlformats.org/officeDocument/2006/relationships" name="Источники" sheetId="8" r:id="R34b44435b5f94e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;[Red](#,##0);-"/>
  </x:numFmts>
  <x:fonts count="3">
    <x:font>
      <x:sz val="11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2F8"/>
      </x:patternFill>
    </x:fill>
    <x:fill>
      <x:patternFill patternType="solid">
        <x:fgColor rgb="FF548235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201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1" fontId="0" fillId="0" borderId="2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88e40808f24950" /><Relationship Type="http://schemas.openxmlformats.org/officeDocument/2006/relationships/theme" Target="/xl/theme/theme1.xml" Id="R233a32ec2c9c4333" /><Relationship Type="http://schemas.openxmlformats.org/officeDocument/2006/relationships/sharedStrings" Target="/xl/sharedStrings.xml" Id="R00a39845bf784931" /><Relationship Type="http://schemas.openxmlformats.org/officeDocument/2006/relationships/worksheet" Target="/xl/worksheets/sheet1.xml" Id="Rf42f7488baf84d80" /><Relationship Type="http://schemas.openxmlformats.org/officeDocument/2006/relationships/worksheet" Target="/xl/worksheets/sheet2.xml" Id="R6cb63aadedca4ce9" /><Relationship Type="http://schemas.openxmlformats.org/officeDocument/2006/relationships/worksheet" Target="/xl/worksheets/sheet3.xml" Id="Raa9ebf78e6c24a10" /><Relationship Type="http://schemas.openxmlformats.org/officeDocument/2006/relationships/worksheet" Target="/xl/worksheets/sheet4.xml" Id="R9a6117d8652b4fc1" /><Relationship Type="http://schemas.openxmlformats.org/officeDocument/2006/relationships/worksheet" Target="/xl/worksheets/sheet5.xml" Id="R5a4278dd4db249a6" /><Relationship Type="http://schemas.openxmlformats.org/officeDocument/2006/relationships/worksheet" Target="/xl/worksheets/sheet6.xml" Id="R204fa5b095854f71" /><Relationship Type="http://schemas.openxmlformats.org/officeDocument/2006/relationships/worksheet" Target="/xl/worksheets/sheet7.xml" Id="R5766c4018b4649ef" /><Relationship Type="http://schemas.openxmlformats.org/officeDocument/2006/relationships/worksheet" Target="/xl/worksheets/sheet8.xml" Id="R34b44435b5f94e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ae4757620b4eda" /><Relationship Type="http://schemas.openxmlformats.org/officeDocument/2006/relationships/chart" Target="/xl/drawings/charts/chart2.xml" Id="R2632b01ffca64041" /><Relationship Type="http://schemas.openxmlformats.org/officeDocument/2006/relationships/chart" Target="/xl/drawings/charts/chart3.xml" Id="R338cdfdb41b44e98" /><Relationship Type="http://schemas.openxmlformats.org/officeDocument/2006/relationships/chart" Target="/xl/drawings/charts/chart4.xml" Id="Raad947df9668465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Топ-6: выручка 2023-2025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187 Вкусно — и точка</c:v>
          </c:tx>
          <c:cat>
            <c:strRef>
              <c:f>'Графики'!$A$6:$A$8</c:f>
              <c:strCache>
                <c:ptCount val="0"/>
              </c:strCache>
            </c:strRef>
          </c:cat>
          <c:val>
            <c:numRef>
              <c:f>'Графики'!$B$6:$B$8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223 Rostic's</c:v>
          </c:tx>
          <c:cat>
            <c:strRef>
              <c:f>'Графики'!$A$6:$A$8</c:f>
              <c:strCache>
                <c:ptCount val="0"/>
              </c:strCache>
            </c:strRef>
          </c:cat>
          <c:val>
            <c:numRef>
              <c:f>'Графики'!$C$6:$C$8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188 Дар Пицца</c:v>
          </c:tx>
          <c:cat>
            <c:strRef>
              <c:f>'Графики'!$A$6:$A$8</c:f>
              <c:strCache>
                <c:ptCount val="0"/>
              </c:strCache>
            </c:strRef>
          </c:cat>
          <c:val>
            <c:numRef>
              <c:f>'Графики'!$D$6:$D$8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217 Баблс</c:v>
          </c:tx>
          <c:cat>
            <c:strRef>
              <c:f>'Графики'!$A$6:$A$8</c:f>
              <c:strCache>
                <c:ptCount val="0"/>
              </c:strCache>
            </c:strRef>
          </c:cat>
          <c:val>
            <c:numRef>
              <c:f>'Графики'!$E$6:$E$8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4"/>
          <c:order val="4"/>
          <c:tx>
            <c:v>241 Диканька</c:v>
          </c:tx>
          <c:cat>
            <c:strRef>
              <c:f>'Графики'!$A$6:$A$8</c:f>
              <c:strCache>
                <c:ptCount val="0"/>
              </c:strCache>
            </c:strRef>
          </c:cat>
          <c:val>
            <c:numRef>
              <c:f>'Графики'!$F$6:$F$8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5"/>
          <c:order val="5"/>
          <c:tx>
            <c:v>246 Чик Чак</c:v>
          </c:tx>
          <c:cat>
            <c:strRef>
              <c:f>'Графики'!$A$6:$A$8</c:f>
              <c:strCache>
                <c:ptCount val="0"/>
              </c:strCache>
            </c:strRef>
          </c:cat>
          <c:val>
            <c:numRef>
              <c:f>'Графики'!$G$6:$G$8</c:f>
              <c:numCache>
                <c:formatCode>#,##0;[Red](#,##0);-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Топ-6: валовая прибыль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187 Вкусно — и точка</c:v>
          </c:tx>
          <c:cat>
            <c:strRef>
              <c:f>'Графики'!$A$25:$A$27</c:f>
              <c:strCache>
                <c:ptCount val="0"/>
              </c:strCache>
            </c:strRef>
          </c:cat>
          <c:val>
            <c:numRef>
              <c:f>'Графики'!$B$25:$B$27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223 Rostic's</c:v>
          </c:tx>
          <c:cat>
            <c:strRef>
              <c:f>'Графики'!$A$25:$A$27</c:f>
              <c:strCache>
                <c:ptCount val="0"/>
              </c:strCache>
            </c:strRef>
          </c:cat>
          <c:val>
            <c:numRef>
              <c:f>'Графики'!$C$25:$C$27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188 Дар Пицца</c:v>
          </c:tx>
          <c:cat>
            <c:strRef>
              <c:f>'Графики'!$A$25:$A$27</c:f>
              <c:strCache>
                <c:ptCount val="0"/>
              </c:strCache>
            </c:strRef>
          </c:cat>
          <c:val>
            <c:numRef>
              <c:f>'Графики'!$D$25:$D$27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217 Баблс</c:v>
          </c:tx>
          <c:cat>
            <c:strRef>
              <c:f>'Графики'!$A$25:$A$27</c:f>
              <c:strCache>
                <c:ptCount val="0"/>
              </c:strCache>
            </c:strRef>
          </c:cat>
          <c:val>
            <c:numRef>
              <c:f>'Графики'!$E$25:$E$27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4"/>
          <c:order val="4"/>
          <c:tx>
            <c:v>241 Диканька</c:v>
          </c:tx>
          <c:cat>
            <c:strRef>
              <c:f>'Графики'!$A$25:$A$27</c:f>
              <c:strCache>
                <c:ptCount val="0"/>
              </c:strCache>
            </c:strRef>
          </c:cat>
          <c:val>
            <c:numRef>
              <c:f>'Графики'!$F$25:$F$27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5"/>
          <c:order val="5"/>
          <c:tx>
            <c:v>246 Чик Чак</c:v>
          </c:tx>
          <c:cat>
            <c:strRef>
              <c:f>'Графики'!$A$25:$A$27</c:f>
              <c:strCache>
                <c:ptCount val="0"/>
              </c:strCache>
            </c:strRef>
          </c:cat>
          <c:val>
            <c:numRef>
              <c:f>'Графики'!$G$25:$G$27</c:f>
              <c:numCache>
                <c:formatCode>#,##0;[Red](#,##0);-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Топ-6: чистый результат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187 Вкусно — и точка</c:v>
          </c:tx>
          <c:cat>
            <c:strRef>
              <c:f>'Графики'!$A$44:$A$46</c:f>
              <c:strCache>
                <c:ptCount val="0"/>
              </c:strCache>
            </c:strRef>
          </c:cat>
          <c:val>
            <c:numRef>
              <c:f>'Графики'!$B$44:$B$46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223 Rostic's</c:v>
          </c:tx>
          <c:cat>
            <c:strRef>
              <c:f>'Графики'!$A$44:$A$46</c:f>
              <c:strCache>
                <c:ptCount val="0"/>
              </c:strCache>
            </c:strRef>
          </c:cat>
          <c:val>
            <c:numRef>
              <c:f>'Графики'!$C$44:$C$46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188 Дар Пицца</c:v>
          </c:tx>
          <c:cat>
            <c:strRef>
              <c:f>'Графики'!$A$44:$A$46</c:f>
              <c:strCache>
                <c:ptCount val="0"/>
              </c:strCache>
            </c:strRef>
          </c:cat>
          <c:val>
            <c:numRef>
              <c:f>'Графики'!$D$44:$D$46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217 Баблс</c:v>
          </c:tx>
          <c:cat>
            <c:strRef>
              <c:f>'Графики'!$A$44:$A$46</c:f>
              <c:strCache>
                <c:ptCount val="0"/>
              </c:strCache>
            </c:strRef>
          </c:cat>
          <c:val>
            <c:numRef>
              <c:f>'Графики'!$E$44:$E$46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4"/>
          <c:order val="4"/>
          <c:tx>
            <c:v>241 Диканька</c:v>
          </c:tx>
          <c:cat>
            <c:strRef>
              <c:f>'Графики'!$A$44:$A$46</c:f>
              <c:strCache>
                <c:ptCount val="0"/>
              </c:strCache>
            </c:strRef>
          </c:cat>
          <c:val>
            <c:numRef>
              <c:f>'Графики'!$F$44:$F$46</c:f>
              <c:numCache>
                <c:formatCode>#,##0;[Red](#,##0);-</c:formatCode>
                <c:ptCount val="0"/>
              </c:numCache>
            </c:numRef>
          </c:val>
          <c:smooth val="0"/>
        </c:ser>
        <c:ser>
          <c:idx val="5"/>
          <c:order val="5"/>
          <c:tx>
            <c:v>246 Чик Чак</c:v>
          </c:tx>
          <c:cat>
            <c:strRef>
              <c:f>'Графики'!$A$44:$A$46</c:f>
              <c:strCache>
                <c:ptCount val="0"/>
              </c:strCache>
            </c:strRef>
          </c:cat>
          <c:val>
            <c:numRef>
              <c:f>'Графики'!$G$44:$G$46</c:f>
              <c:numCache>
                <c:formatCode>#,##0;[Red](#,##0);-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Эффективность по топ-6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Эффективность, %</c:v>
          </c:tx>
          <c:cat>
            <c:strRef>
              <c:f>'Графики'!$A$63:$A$68</c:f>
              <c:strCache>
                <c:ptCount val="0"/>
              </c:strCache>
            </c:strRef>
          </c:cat>
          <c:val>
            <c:numRef>
              <c:f>'Графики'!$B$63:$B$68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17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ae4757620b4eda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32b01ffca64041"/>
        </a:graphicData>
      </a:graphic>
    </xdr:graphicFrame>
    <xdr:clientData/>
  </xdr:twoCellAnchor>
  <xdr:twoCellAnchor>
    <xdr:from>
      <xdr:col>8</xdr:col>
      <xdr:colOff>0</xdr:colOff>
      <xdr:row>41</xdr:row>
      <xdr:rowOff>0</xdr:rowOff>
    </xdr:from>
    <xdr:to>
      <xdr:col>17</xdr:col>
      <xdr:colOff>0</xdr:colOff>
      <xdr:row>57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8cdfdb41b44e98"/>
        </a:graphicData>
      </a:graphic>
    </xdr:graphicFrame>
    <xdr:clientData/>
  </xdr:twoCellAnchor>
  <xdr:twoCellAnchor>
    <xdr:from>
      <xdr:col>8</xdr:col>
      <xdr:colOff>0</xdr:colOff>
      <xdr:row>60</xdr:row>
      <xdr:rowOff>0</xdr:rowOff>
    </xdr:from>
    <xdr:to>
      <xdr:col>17</xdr:col>
      <xdr:colOff>0</xdr:colOff>
      <xdr:row>76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d947df9668465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fc261b4aec064d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5" hidden="0" customWidth="1"/>
    <x:col min="3" max="3" width="21.25" hidden="0" customWidth="1"/>
    <x:col min="4" max="4" width="30" hidden="0" customWidth="1"/>
    <x:col min="5" max="5" width="15" hidden="0" customWidth="1"/>
    <x:col min="6" max="6" width="15" hidden="0" customWidth="1"/>
    <x:col min="7" max="7" width="18.75" hidden="0" customWidth="1"/>
    <x:col min="8" max="8" width="18.75" hidden="0" customWidth="1"/>
  </x:cols>
  <x:sheetData>
    <x:row r="1">
      <x:c r="A1" s="2" t="str">
        <x:v>Финансовые показатели выбранных ресторанных записей</x:v>
      </x:c>
    </x:row>
    <x:row r="2">
      <x:c r="A2" s="2" t="str">
        <x:v>Диапазон: строки 162-250, лист "Все Значения"</x:v>
      </x:c>
    </x:row>
    <x:row r="3">
      <x:c r="A3" s="2" t="str">
        <x:v>Дата сборки: 2026-06-09</x:v>
      </x:c>
    </x:row>
    <x:row r="6">
      <x:c r="A6" s="8" t="str">
        <x:v>Показатель</x:v>
      </x:c>
      <x:c r="B6" s="8" t="str">
        <x:v>Значение</x:v>
      </x:c>
    </x:row>
    <x:row r="7">
      <x:c r="A7" s="9" t="str">
        <x:v>Выбрано записей</x:v>
      </x:c>
      <x:c r="B7" s="9" t="n">
        <x:v>40</x:v>
      </x:c>
    </x:row>
    <x:row r="8">
      <x:c r="A8" s="9" t="str">
        <x:v>Есть расчет эффективности</x:v>
      </x:c>
      <x:c r="B8" s="9" t="n">
        <x:v>37</x:v>
      </x:c>
    </x:row>
    <x:row r="9">
      <x:c r="A9" s="9" t="str">
        <x:v>Резервные строки без расчета</x:v>
      </x:c>
      <x:c r="B9" s="9" t="n">
        <x:v>3</x:v>
      </x:c>
    </x:row>
    <x:row r="10">
      <x:c r="A10" s="9" t="str">
        <x:v>Источник годовой отчетности</x:v>
      </x:c>
      <x:c r="B10" s="9" t="str">
        <x:v>ФНС России, ресурс БФО</x:v>
      </x:c>
    </x:row>
    <x:row r="11">
      <x:c r="A11" s="9" t="str">
        <x:v>Период</x:v>
      </x:c>
      <x:c r="B11" s="9" t="str">
        <x:v>2023-2025</x:v>
      </x:c>
    </x:row>
    <x:row r="12">
      <x:c r="A12" s="9" t="str">
        <x:v>Единицы финансовых значений</x:v>
      </x:c>
      <x:c r="B12" s="9" t="str">
        <x:v>тыс. руб.</x:v>
      </x:c>
    </x:row>
    <x:row r="13">
      <x:c r="A13" s="9" t="str">
        <x:v>Кол-во персонала</x:v>
      </x:c>
      <x:c r="B13" s="9" t="str">
        <x:v>не найдено надежного годового источника; в таблицах указано '-'</x:v>
      </x:c>
    </x:row>
    <x:row r="14">
      <x:c r="A14" s="9" t="str">
        <x:v>Квартальные данные</x:v>
      </x:c>
      <x:c r="B14" s="9" t="str">
        <x:v>по выбранным непубличным ООО в ФНС БФО не раскрываются</x:v>
      </x:c>
    </x:row>
    <x:row r="17">
      <x:c r="A17" s="8" t="str">
        <x:v>Группа</x:v>
      </x:c>
      <x:c r="B17" s="8" t="str">
        <x:v>Строка</x:v>
      </x:c>
      <x:c r="C17" s="8" t="str">
        <x:v>Запись</x:v>
      </x:c>
      <x:c r="D17" s="8" t="str">
        <x:v>Юрлицо</x:v>
      </x:c>
      <x:c r="E17" s="8" t="str">
        <x:v>ИНН</x:v>
      </x:c>
      <x:c r="F17" s="8" t="str">
        <x:v>Эффективность, %</x:v>
      </x:c>
      <x:c r="G17" s="8" t="str">
        <x:v>Сумма чистой прибыли</x:v>
      </x:c>
      <x:c r="H17" s="8" t="str">
        <x:v>Сумма чистого убытка</x:v>
      </x:c>
    </x:row>
    <x:row r="18">
      <x:c r="A18" s="9" t="str">
        <x:v>2 макс</x:v>
      </x:c>
      <x:c r="B18" s="9" t="n">
        <x:v>187</x:v>
      </x:c>
      <x:c r="C18" s="9" t="str">
        <x:v>Вкусно — и точка</x:v>
      </x:c>
      <x:c r="D18" s="9" t="str">
        <x:v>ООО "СИСТЕМА ПБО"</x:v>
      </x:c>
      <x:c r="E18" s="9" t="str">
        <x:v>7710044140</x:v>
      </x:c>
      <x:c r="F18" s="12" t="n">
        <x:v>100</x:v>
      </x:c>
      <x:c r="G18" s="13" t="n">
        <x:v>45539415</x:v>
      </x:c>
      <x:c r="H18" s="13" t="n">
        <x:v>0</x:v>
      </x:c>
    </x:row>
    <x:row r="19">
      <x:c r="A19" s="9" t="str">
        <x:v>2 макс</x:v>
      </x:c>
      <x:c r="B19" s="9" t="n">
        <x:v>223</x:v>
      </x:c>
      <x:c r="C19" s="9" t="str">
        <x:v>Rostic's</x:v>
      </x:c>
      <x:c r="D19" s="9" t="str">
        <x:v>ООО "ЮНИРЕСТ"</x:v>
      </x:c>
      <x:c r="E19" s="9" t="str">
        <x:v>7722561551</x:v>
      </x:c>
      <x:c r="F19" s="12" t="n">
        <x:v>100</x:v>
      </x:c>
      <x:c r="G19" s="13" t="n">
        <x:v>13334190</x:v>
      </x:c>
      <x:c r="H19" s="13" t="n">
        <x:v>0</x:v>
      </x:c>
    </x:row>
    <x:row r="20">
      <x:c r="A20" s="9" t="str">
        <x:v>2 сред</x:v>
      </x:c>
      <x:c r="B20" s="9" t="n">
        <x:v>188</x:v>
      </x:c>
      <x:c r="C20" s="9" t="str">
        <x:v>Дар Пицца</x:v>
      </x:c>
      <x:c r="D20" s="9" t="str">
        <x:v>ООО "ПИЦЦА КРАСНОДАР"</x:v>
      </x:c>
      <x:c r="E20" s="9" t="str">
        <x:v>2311356162</x:v>
      </x:c>
      <x:c r="F20" s="12" t="n">
        <x:v>100</x:v>
      </x:c>
      <x:c r="G20" s="13" t="n">
        <x:v>601</x:v>
      </x:c>
      <x:c r="H20" s="13" t="n">
        <x:v>0</x:v>
      </x:c>
    </x:row>
    <x:row r="21">
      <x:c r="A21" s="9" t="str">
        <x:v>2 сред</x:v>
      </x:c>
      <x:c r="B21" s="9" t="n">
        <x:v>217</x:v>
      </x:c>
      <x:c r="C21" s="9" t="str">
        <x:v>Баблс</x:v>
      </x:c>
      <x:c r="D21" s="9" t="str">
        <x:v>ООО "БАБЛС"</x:v>
      </x:c>
      <x:c r="E21" s="9" t="str">
        <x:v>2721254750</x:v>
      </x:c>
      <x:c r="F21" s="12" t="n">
        <x:v>100</x:v>
      </x:c>
      <x:c r="G21" s="13" t="n">
        <x:v>82</x:v>
      </x:c>
      <x:c r="H21" s="13" t="n">
        <x:v>0</x:v>
      </x:c>
    </x:row>
    <x:row r="22">
      <x:c r="A22" s="9" t="str">
        <x:v>2 мин</x:v>
      </x:c>
      <x:c r="B22" s="9" t="n">
        <x:v>241</x:v>
      </x:c>
      <x:c r="C22" s="9" t="str">
        <x:v>Диканька</x:v>
      </x:c>
      <x:c r="D22" s="9" t="str">
        <x:v>ООО "ДИКАНЬКА"</x:v>
      </x:c>
      <x:c r="E22" s="9" t="str">
        <x:v>7456001807</x:v>
      </x:c>
      <x:c r="F22" s="12" t="n">
        <x:v>-30.1535974130962</x:v>
      </x:c>
      <x:c r="G22" s="13" t="n">
        <x:v>2474</x:v>
      </x:c>
      <x:c r="H22" s="13" t="n">
        <x:v>3220</x:v>
      </x:c>
    </x:row>
    <x:row r="23">
      <x:c r="A23" s="9" t="str">
        <x:v>2 мин</x:v>
      </x:c>
      <x:c r="B23" s="9" t="n">
        <x:v>246</x:v>
      </x:c>
      <x:c r="C23" s="9" t="str">
        <x:v>Чик Чак</x:v>
      </x:c>
      <x:c r="D23" s="9" t="str">
        <x:v>ООО "ЧАК-ЧАК"</x:v>
      </x:c>
      <x:c r="E23" s="9" t="str">
        <x:v>1655245067</x:v>
      </x:c>
      <x:c r="F23" s="12" t="n">
        <x:v>-1921.921921921922</x:v>
      </x:c>
      <x:c r="G23" s="13" t="n">
        <x:v>333</x:v>
      </x:c>
      <x:c r="H23" s="13" t="n">
        <x:v>6733</x:v>
      </x:c>
    </x:row>
    <x:row r="26">
      <x:c r="A26" s="16" t="str">
        <x:v>Примечания</x:v>
      </x:c>
      <x:c r="B26" s="16"/>
      <x:c r="C26" s="16"/>
      <x:c r="D26" s="16"/>
      <x:c r="E26" s="16"/>
      <x:c r="F26" s="16"/>
      <x:c r="G26" s="16"/>
      <x:c r="H26" s="16"/>
    </x:row>
    <x:row r="27">
      <x:c r="A27" s="17" t="str">
        <x:v>Перевыборка сделана из строк 162-250: записей с расчетом эффективности найдено 37, резервных строк без расчета - 3.</x:v>
      </x:c>
      <x:c r="B27" s="17"/>
      <x:c r="C27" s="17"/>
      <x:c r="D27" s="17"/>
      <x:c r="E27" s="17"/>
      <x:c r="F27" s="17"/>
      <x:c r="G27" s="17"/>
      <x:c r="H27" s="17"/>
    </x:row>
    <x:row r="28">
      <x:c r="A28" s="17" t="str">
        <x:v>Резервные строки оставлены только чтобы сохранить формат выборки из 40 записей; финансовые значения по ним не подставлялись.</x:v>
      </x:c>
      <x:c r="B28" s="17"/>
      <x:c r="C28" s="17"/>
      <x:c r="D28" s="17"/>
      <x:c r="E28" s="17"/>
      <x:c r="F28" s="17"/>
      <x:c r="G28" s="17"/>
      <x:c r="H28" s="17"/>
    </x:row>
    <x:row r="29">
      <x:c r="A29" s="17" t="str">
        <x:v>Финансовые значения указаны в тыс. руб. по данным ФНС БФО за 2023-2025.</x:v>
      </x:c>
      <x:c r="B29" s="17"/>
      <x:c r="C29" s="17"/>
      <x:c r="D29" s="17"/>
      <x:c r="E29" s="17"/>
      <x:c r="F29" s="17"/>
      <x:c r="G29" s="17"/>
      <x:c r="H29" s="17"/>
    </x:row>
    <x:row r="30">
      <x:c r="A30" s="17" t="str">
        <x:v>Показатель эффективности рассчитан за 3 года: ((сумма чистой прибыли - сумма чистого убытка) / сумма чистой прибыли) * 100.</x:v>
      </x:c>
      <x:c r="B30" s="17"/>
      <x:c r="C30" s="17"/>
      <x:c r="D30" s="17"/>
      <x:c r="E30" s="17"/>
      <x:c r="F30" s="17"/>
      <x:c r="G30" s="17"/>
      <x:c r="H30" s="17"/>
    </x:row>
    <x:row r="31">
      <x:c r="A31" s="17" t="str">
        <x:v>Кол-во персонала и поквартальная отчетность в открытой ФНС БФО по этим непубличным компаниям не раскрываются; в таблицах стоит '-'.</x:v>
      </x:c>
      <x:c r="B31" s="17"/>
      <x:c r="C31" s="17"/>
      <x:c r="D31" s="17"/>
      <x:c r="E31" s="17"/>
      <x:c r="F31" s="17"/>
      <x:c r="G31" s="17"/>
      <x:c r="H31" s="17"/>
    </x:row>
    <x:row r="32">
      <x:c r="A32" s="17" t="str">
        <x:v>Для сетей использовано юрлицо оператора/управляющей компании или близкое юрлицо бренда; уровень надежности указан отдельно.</x:v>
      </x:c>
      <x:c r="B32" s="17"/>
      <x:c r="C32" s="17"/>
      <x:c r="D32" s="17"/>
      <x:c r="E32" s="17"/>
      <x:c r="F32" s="17"/>
      <x:c r="G32" s="17"/>
      <x:c r="H32" s="17"/>
    </x:row>
  </x:sheetData>
  <x:mergeCells>
    <x:mergeCell ref="A1:H1"/>
    <x:mergeCell ref="A2:H2"/>
    <x:mergeCell ref="A3:H3"/>
    <x:mergeCell ref="A26:H26"/>
    <x:mergeCell ref="A27:H27"/>
    <x:mergeCell ref="A28:H28"/>
    <x:mergeCell ref="A29:H29"/>
    <x:mergeCell ref="A30:H30"/>
    <x:mergeCell ref="A31:H31"/>
    <x:mergeCell ref="A32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21.25" hidden="0" customWidth="1"/>
    <x:col min="3" max="3" width="35" hidden="0" customWidth="1"/>
    <x:col min="4" max="4" width="9.380000114440918" hidden="0" customWidth="1"/>
    <x:col min="5" max="5" width="9.380000114440918" hidden="0" customWidth="1"/>
    <x:col min="6" max="6" width="27.5" hidden="0" customWidth="1"/>
    <x:col min="7" max="7" width="13.130000114440918" hidden="0" customWidth="1"/>
    <x:col min="8" max="8" width="10.630000114440918" hidden="0" customWidth="1"/>
    <x:col min="9" max="9" width="41.25" hidden="0" customWidth="1"/>
    <x:col min="10" max="10" width="13.130000114440918" hidden="0" customWidth="1"/>
    <x:col min="11" max="11" width="13.130000114440918" hidden="0" customWidth="1"/>
    <x:col min="12" max="12" width="13.130000114440918" hidden="0" customWidth="1"/>
    <x:col min="13" max="13" width="13.130000114440918" hidden="0" customWidth="1"/>
    <x:col min="14" max="14" width="13.130000114440918" hidden="0" customWidth="1"/>
    <x:col min="15" max="15" width="13.130000114440918" hidden="0" customWidth="1"/>
    <x:col min="16" max="16" width="13.130000114440918" hidden="0" customWidth="1"/>
    <x:col min="17" max="17" width="13.130000114440918" hidden="0" customWidth="1"/>
    <x:col min="18" max="18" width="13.130000114440918" hidden="0" customWidth="1"/>
    <x:col min="19" max="19" width="13.130000114440918" hidden="0" customWidth="1"/>
    <x:col min="20" max="20" width="13.130000114440918" hidden="0" customWidth="1"/>
    <x:col min="21" max="21" width="13.130000114440918" hidden="0" customWidth="1"/>
    <x:col min="22" max="22" width="13.130000114440918" hidden="0" customWidth="1"/>
    <x:col min="23" max="23" width="13.130000114440918" hidden="0" customWidth="1"/>
    <x:col min="24" max="24" width="13.130000114440918" hidden="0" customWidth="1"/>
    <x:col min="25" max="25" width="13.130000114440918" hidden="0" customWidth="1"/>
    <x:col min="26" max="26" width="13.130000114440918" hidden="0" customWidth="1"/>
    <x:col min="27" max="27" width="13.130000114440918" hidden="0" customWidth="1"/>
    <x:col min="28" max="28" width="35" hidden="0" customWidth="1"/>
  </x:cols>
  <x:sheetData>
    <x:row r="1">
      <x:c r="A1" s="18" t="str">
        <x:v>Строка</x:v>
      </x:c>
      <x:c r="B1" s="18" t="str">
        <x:v>Название</x:v>
      </x:c>
      <x:c r="C1" s="18" t="str">
        <x:v>Адрес</x:v>
      </x:c>
      <x:c r="D1" s="18" t="str">
        <x:v>Отзывы</x:v>
      </x:c>
      <x:c r="E1" s="18" t="str">
        <x:v>Рейтинг</x:v>
      </x:c>
      <x:c r="F1" s="18" t="str">
        <x:v>Юрлицо</x:v>
      </x:c>
      <x:c r="G1" s="18" t="str">
        <x:v>ИНН</x:v>
      </x:c>
      <x:c r="H1" s="18" t="str">
        <x:v>Надежность</x:v>
      </x:c>
      <x:c r="I1" s="18" t="str">
        <x:v>Основание сопоставления</x:v>
      </x:c>
      <x:c r="J1" s="18" t="str">
        <x:v>Выручка 2023</x:v>
      </x:c>
      <x:c r="K1" s="18" t="str">
        <x:v>Выручка 2024</x:v>
      </x:c>
      <x:c r="L1" s="18" t="str">
        <x:v>Выручка 2025</x:v>
      </x:c>
      <x:c r="M1" s="18" t="str">
        <x:v>Валовая прибыль 2023</x:v>
      </x:c>
      <x:c r="N1" s="18" t="str">
        <x:v>Валовая прибыль 2024</x:v>
      </x:c>
      <x:c r="O1" s="18" t="str">
        <x:v>Валовая прибыль 2025</x:v>
      </x:c>
      <x:c r="P1" s="18" t="str">
        <x:v>Чистая прибыль 2023</x:v>
      </x:c>
      <x:c r="Q1" s="18" t="str">
        <x:v>Чистая прибыль 2024</x:v>
      </x:c>
      <x:c r="R1" s="18" t="str">
        <x:v>Чистая прибыль 2025</x:v>
      </x:c>
      <x:c r="S1" s="18" t="str">
        <x:v>Чистый убыток 2023</x:v>
      </x:c>
      <x:c r="T1" s="18" t="str">
        <x:v>Чистый убыток 2024</x:v>
      </x:c>
      <x:c r="U1" s="18" t="str">
        <x:v>Чистый убыток 2025</x:v>
      </x:c>
      <x:c r="V1" s="18" t="str">
        <x:v>Персонал 2023</x:v>
      </x:c>
      <x:c r="W1" s="18" t="str">
        <x:v>Персонал 2024</x:v>
      </x:c>
      <x:c r="X1" s="18" t="str">
        <x:v>Персонал 2025</x:v>
      </x:c>
      <x:c r="Y1" s="18" t="str">
        <x:v>Сумма чистой прибыли</x:v>
      </x:c>
      <x:c r="Z1" s="18" t="str">
        <x:v>Сумма чистого убытка</x:v>
      </x:c>
      <x:c r="AA1" s="18" t="str">
        <x:v>Эффективность, %</x:v>
      </x:c>
      <x:c r="AB1" s="18" t="str">
        <x:v>Примечания</x:v>
      </x:c>
    </x:row>
    <x:row r="2">
      <x:c r="A2" s="22" t="n">
        <x:v>163</x:v>
      </x:c>
      <x:c r="B2" s="22" t="str">
        <x:v>Сноб Кофе</x:v>
      </x:c>
      <x:c r="C2" s="22" t="str">
        <x:v>Красная ул. 165/2</x:v>
      </x:c>
      <x:c r="D2" s="22" t="n">
        <x:v>185</x:v>
      </x:c>
      <x:c r="E2" s="22" t="n">
        <x:v>4.4</x:v>
      </x:c>
      <x:c r="F2" s="22" t="str">
        <x:v>ООО "КОФЕ-ФЕ"</x:v>
      </x:c>
      <x:c r="G2" s="22" t="str">
        <x:v>2204088208</x:v>
      </x:c>
      <x:c r="H2" s="22" t="str">
        <x:v>низкая</x:v>
      </x:c>
      <x:c r="I2" s="22" t="str">
        <x:v>автоподбор ФНС по названию; проверены ОКВЭД 56 и наличие БФО</x:v>
      </x:c>
      <x:c r="J2" s="23" t="n">
        <x:v>15555</x:v>
      </x:c>
      <x:c r="K2" s="23" t="n">
        <x:v>10864</x:v>
      </x:c>
      <x:c r="L2" s="23" t="n">
        <x:v>9202</x:v>
      </x:c>
      <x:c r="M2" s="23" t="str">
        <x:v>-</x:v>
      </x:c>
      <x:c r="N2" s="23" t="str">
        <x:v>-</x:v>
      </x:c>
      <x:c r="O2" s="23" t="str">
        <x:v>-</x:v>
      </x:c>
      <x:c r="P2" s="23" t="n">
        <x:v>460</x:v>
      </x:c>
      <x:c r="Q2" s="23" t="n">
        <x:v>471</x:v>
      </x:c>
      <x:c r="R2" s="23" t="n">
        <x:v>258</x:v>
      </x:c>
      <x:c r="S2" s="23" t="n">
        <x:v>0</x:v>
      </x:c>
      <x:c r="T2" s="23" t="n">
        <x:v>0</x:v>
      </x:c>
      <x:c r="U2" s="23" t="n">
        <x:v>0</x:v>
      </x:c>
      <x:c r="V2" s="22" t="str">
        <x:v>-</x:v>
      </x:c>
      <x:c r="W2" s="22" t="str">
        <x:v>-</x:v>
      </x:c>
      <x:c r="X2" s="22" t="str">
        <x:v>-</x:v>
      </x:c>
      <x:c r="Y2" s="23" t="n">
        <x:f>IF(COUNT(P2:R2)=0,"-",SUM(P2:R2))</x:f>
        <x:v>1189</x:v>
      </x:c>
      <x:c r="Z2" s="23" t="n">
        <x:f>IF(COUNT(S2:U2)=0,"-",SUM(S2:U2))</x:f>
        <x:v>0</x:v>
      </x:c>
      <x:c r="AA2" s="24" t="n">
        <x:f>IF(AND(ISNUMBER(Y2),Y2&gt;0),((Y2-N(Z2))/Y2)*100,"-")</x:f>
        <x:v>100</x:v>
      </x:c>
      <x:c r="AB2" s="22" t="str">
        <x:v>БФО найдена; полнота данных 6/9.</x:v>
      </x:c>
    </x:row>
    <x:row r="3">
      <x:c r="A3" s="22" t="n">
        <x:v>165</x:v>
      </x:c>
      <x:c r="B3" s="22" t="str">
        <x:v>Вкусно — и точка</x:v>
      </x:c>
      <x:c r="C3" s="22" t="str">
        <x:v>ул. Янковского 157</x:v>
      </x:c>
      <x:c r="D3" s="22" t="n">
        <x:v>884</x:v>
      </x:c>
      <x:c r="E3" s="22" t="n">
        <x:v>4.5</x:v>
      </x:c>
      <x:c r="F3" s="22" t="str">
        <x:v>ООО "СИСТЕМА ПБО"</x:v>
      </x:c>
      <x:c r="G3" s="22" t="str">
        <x:v>7710044140</x:v>
      </x:c>
      <x:c r="H3" s="22" t="str">
        <x:v>высокая</x:v>
      </x:c>
      <x:c r="I3" s="22" t="str">
        <x:v>оператор сети Вкусно — и точка</x:v>
      </x:c>
      <x:c r="J3" s="23" t="n">
        <x:v>155745210</x:v>
      </x:c>
      <x:c r="K3" s="23" t="n">
        <x:v>187357965</x:v>
      </x:c>
      <x:c r="L3" s="23" t="n">
        <x:v>218572895</x:v>
      </x:c>
      <x:c r="M3" s="23" t="n">
        <x:v>27475435</x:v>
      </x:c>
      <x:c r="N3" s="23" t="n">
        <x:v>35440526</x:v>
      </x:c>
      <x:c r="O3" s="23" t="n">
        <x:v>37855764</x:v>
      </x:c>
      <x:c r="P3" s="23" t="n">
        <x:v>14174325</x:v>
      </x:c>
      <x:c r="Q3" s="23" t="n">
        <x:v>16959735</x:v>
      </x:c>
      <x:c r="R3" s="23" t="n">
        <x:v>14405355</x:v>
      </x:c>
      <x:c r="S3" s="23" t="n">
        <x:v>0</x:v>
      </x:c>
      <x:c r="T3" s="23" t="n">
        <x:v>0</x:v>
      </x:c>
      <x:c r="U3" s="23" t="n">
        <x:v>0</x:v>
      </x:c>
      <x:c r="V3" s="22" t="str">
        <x:v>-</x:v>
      </x:c>
      <x:c r="W3" s="22" t="str">
        <x:v>-</x:v>
      </x:c>
      <x:c r="X3" s="22" t="str">
        <x:v>-</x:v>
      </x:c>
      <x:c r="Y3" s="23" t="n">
        <x:f>IF(COUNT(P3:R3)=0,"-",SUM(P3:R3))</x:f>
        <x:v>45539415</x:v>
      </x:c>
      <x:c r="Z3" s="23" t="n">
        <x:f>IF(COUNT(S3:U3)=0,"-",SUM(S3:U3))</x:f>
        <x:v>0</x:v>
      </x:c>
      <x:c r="AA3" s="24" t="n">
        <x:f>IF(AND(ISNUMBER(Y3),Y3&gt;0),((Y3-N(Z3))/Y3)*100,"-")</x:f>
        <x:v>100</x:v>
      </x:c>
      <x:c r="AB3" s="22" t="str">
        <x:v>БФО найдена; полнота данных 9/9.</x:v>
      </x:c>
    </x:row>
    <x:row r="4">
      <x:c r="A4" s="22" t="n">
        <x:v>172</x:v>
      </x:c>
      <x:c r="B4" s="22" t="str">
        <x:v>Вкусно — и точка</x:v>
      </x:c>
      <x:c r="C4" s="22" t="str">
        <x:v>Красная ул. 176 корп. 8</x:v>
      </x:c>
      <x:c r="D4" s="22" t="n">
        <x:v>362</x:v>
      </x:c>
      <x:c r="E4" s="22" t="n">
        <x:v>4.5</x:v>
      </x:c>
      <x:c r="F4" s="22" t="str">
        <x:v>ООО "СИСТЕМА ПБО"</x:v>
      </x:c>
      <x:c r="G4" s="22" t="str">
        <x:v>7710044140</x:v>
      </x:c>
      <x:c r="H4" s="22" t="str">
        <x:v>высокая</x:v>
      </x:c>
      <x:c r="I4" s="22" t="str">
        <x:v>оператор сети Вкусно — и точка</x:v>
      </x:c>
      <x:c r="J4" s="23" t="n">
        <x:v>155745210</x:v>
      </x:c>
      <x:c r="K4" s="23" t="n">
        <x:v>187357965</x:v>
      </x:c>
      <x:c r="L4" s="23" t="n">
        <x:v>218572895</x:v>
      </x:c>
      <x:c r="M4" s="23" t="n">
        <x:v>27475435</x:v>
      </x:c>
      <x:c r="N4" s="23" t="n">
        <x:v>35440526</x:v>
      </x:c>
      <x:c r="O4" s="23" t="n">
        <x:v>37855764</x:v>
      </x:c>
      <x:c r="P4" s="23" t="n">
        <x:v>14174325</x:v>
      </x:c>
      <x:c r="Q4" s="23" t="n">
        <x:v>16959735</x:v>
      </x:c>
      <x:c r="R4" s="23" t="n">
        <x:v>14405355</x:v>
      </x:c>
      <x:c r="S4" s="23" t="n">
        <x:v>0</x:v>
      </x:c>
      <x:c r="T4" s="23" t="n">
        <x:v>0</x:v>
      </x:c>
      <x:c r="U4" s="23" t="n">
        <x:v>0</x:v>
      </x:c>
      <x:c r="V4" s="22" t="str">
        <x:v>-</x:v>
      </x:c>
      <x:c r="W4" s="22" t="str">
        <x:v>-</x:v>
      </x:c>
      <x:c r="X4" s="22" t="str">
        <x:v>-</x:v>
      </x:c>
      <x:c r="Y4" s="23" t="n">
        <x:f>IF(COUNT(P4:R4)=0,"-",SUM(P4:R4))</x:f>
        <x:v>45539415</x:v>
      </x:c>
      <x:c r="Z4" s="23" t="n">
        <x:f>IF(COUNT(S4:U4)=0,"-",SUM(S4:U4))</x:f>
        <x:v>0</x:v>
      </x:c>
      <x:c r="AA4" s="24" t="n">
        <x:f>IF(AND(ISNUMBER(Y4),Y4&gt;0),((Y4-N(Z4))/Y4)*100,"-")</x:f>
        <x:v>100</x:v>
      </x:c>
      <x:c r="AB4" s="22" t="str">
        <x:v>БФО найдена; полнота данных 9/9.</x:v>
      </x:c>
    </x:row>
    <x:row r="5">
      <x:c r="A5" s="22" t="n">
        <x:v>180</x:v>
      </x:c>
      <x:c r="B5" s="22" t="str">
        <x:v>Бурум</x:v>
      </x:c>
      <x:c r="C5" s="22" t="str">
        <x:v>улица Восточно-Кругликовская 18/1 Краснодар</x:v>
      </x:c>
      <x:c r="D5" s="22" t="n">
        <x:v>0</x:v>
      </x:c>
      <x:c r="E5" s="22" t="n">
        <x:v>4.2</x:v>
      </x:c>
      <x:c r="F5" s="22" t="str">
        <x:v>ООО "БУРУМ"</x:v>
      </x:c>
      <x:c r="G5" s="22" t="str">
        <x:v>2623033142</x:v>
      </x:c>
      <x:c r="H5" s="22" t="str">
        <x:v>средняя</x:v>
      </x:c>
      <x:c r="I5" s="22" t="str">
        <x:v>автоподбор ФНС по названию; проверены ОКВЭД 56 и наличие БФО</x:v>
      </x:c>
      <x:c r="J5" s="23" t="n">
        <x:v>2616</x:v>
      </x:c>
      <x:c r="K5" s="23" t="n">
        <x:v>4354</x:v>
      </x:c>
      <x:c r="L5" s="23" t="n">
        <x:v>3992</x:v>
      </x:c>
      <x:c r="M5" s="23" t="str">
        <x:v>-</x:v>
      </x:c>
      <x:c r="N5" s="23" t="str">
        <x:v>-</x:v>
      </x:c>
      <x:c r="O5" s="23" t="str">
        <x:v>-</x:v>
      </x:c>
      <x:c r="P5" s="23" t="n">
        <x:v>0</x:v>
      </x:c>
      <x:c r="Q5" s="23" t="n">
        <x:v>1687</x:v>
      </x:c>
      <x:c r="R5" s="23" t="n">
        <x:v>823</x:v>
      </x:c>
      <x:c r="S5" s="23" t="n">
        <x:v>101</x:v>
      </x:c>
      <x:c r="T5" s="23" t="n">
        <x:v>0</x:v>
      </x:c>
      <x:c r="U5" s="23" t="n">
        <x:v>0</x:v>
      </x:c>
      <x:c r="V5" s="22" t="str">
        <x:v>-</x:v>
      </x:c>
      <x:c r="W5" s="22" t="str">
        <x:v>-</x:v>
      </x:c>
      <x:c r="X5" s="22" t="str">
        <x:v>-</x:v>
      </x:c>
      <x:c r="Y5" s="23" t="n">
        <x:f>IF(COUNT(P5:R5)=0,"-",SUM(P5:R5))</x:f>
        <x:v>2510</x:v>
      </x:c>
      <x:c r="Z5" s="23" t="n">
        <x:f>IF(COUNT(S5:U5)=0,"-",SUM(S5:U5))</x:f>
        <x:v>101</x:v>
      </x:c>
      <x:c r="AA5" s="24" t="n">
        <x:f>IF(AND(ISNUMBER(Y5),Y5&gt;0),((Y5-N(Z5))/Y5)*100,"-")</x:f>
        <x:v>95.97609561752988</x:v>
      </x:c>
      <x:c r="AB5" s="22" t="str">
        <x:v>БФО найдена; полнота данных 6/9.</x:v>
      </x:c>
    </x:row>
    <x:row r="6">
      <x:c r="A6" s="22" t="n">
        <x:v>183</x:v>
      </x:c>
      <x:c r="B6" s="22" t="str">
        <x:v>Шашлык Юга</x:v>
      </x:c>
      <x:c r="C6" s="22" t="str">
        <x:v>Российская ул. 304</x:v>
      </x:c>
      <x:c r="D6" s="22" t="n">
        <x:v>223</x:v>
      </x:c>
      <x:c r="E6" s="22" t="n">
        <x:v>4.4</x:v>
      </x:c>
      <x:c r="F6" s="22" t="str">
        <x:v>ООО "ЮГА"</x:v>
      </x:c>
      <x:c r="G6" s="22" t="str">
        <x:v>2317077292</x:v>
      </x:c>
      <x:c r="H6" s="22" t="str">
        <x:v>средняя</x:v>
      </x:c>
      <x:c r="I6" s="22" t="str">
        <x:v>автоподбор ФНС по названию; проверены ОКВЭД 56 и наличие БФО</x:v>
      </x:c>
      <x:c r="J6" s="23" t="n">
        <x:v>85124</x:v>
      </x:c>
      <x:c r="K6" s="23" t="n">
        <x:v>48614</x:v>
      </x:c>
      <x:c r="L6" s="23" t="n">
        <x:v>6</x:v>
      </x:c>
      <x:c r="M6" s="23" t="str">
        <x:v>-</x:v>
      </x:c>
      <x:c r="N6" s="23" t="str">
        <x:v>-</x:v>
      </x:c>
      <x:c r="O6" s="23" t="str">
        <x:v>-</x:v>
      </x:c>
      <x:c r="P6" s="23" t="n">
        <x:v>6566</x:v>
      </x:c>
      <x:c r="Q6" s="23" t="n">
        <x:v>10561</x:v>
      </x:c>
      <x:c r="R6" s="23" t="n">
        <x:v>0</x:v>
      </x:c>
      <x:c r="S6" s="23" t="n">
        <x:v>0</x:v>
      </x:c>
      <x:c r="T6" s="23" t="n">
        <x:v>0</x:v>
      </x:c>
      <x:c r="U6" s="23" t="n">
        <x:v>4797</x:v>
      </x:c>
      <x:c r="V6" s="22" t="str">
        <x:v>-</x:v>
      </x:c>
      <x:c r="W6" s="22" t="str">
        <x:v>-</x:v>
      </x:c>
      <x:c r="X6" s="22" t="str">
        <x:v>-</x:v>
      </x:c>
      <x:c r="Y6" s="23" t="n">
        <x:f>IF(COUNT(P6:R6)=0,"-",SUM(P6:R6))</x:f>
        <x:v>17127</x:v>
      </x:c>
      <x:c r="Z6" s="23" t="n">
        <x:f>IF(COUNT(S6:U6)=0,"-",SUM(S6:U6))</x:f>
        <x:v>4797</x:v>
      </x:c>
      <x:c r="AA6" s="24" t="n">
        <x:f>IF(AND(ISNUMBER(Y6),Y6&gt;0),((Y6-N(Z6))/Y6)*100,"-")</x:f>
        <x:v>71.9915922228061</x:v>
      </x:c>
      <x:c r="AB6" s="22" t="str">
        <x:v>БФО найдена; полнота данных 6/9.</x:v>
      </x:c>
    </x:row>
    <x:row r="7">
      <x:c r="A7" s="22" t="n">
        <x:v>184</x:v>
      </x:c>
      <x:c r="B7" s="22" t="str">
        <x:v>Бургер Кинг</x:v>
      </x:c>
      <x:c r="C7" s="22" t="str">
        <x:v>Московская ул. 142/2</x:v>
      </x:c>
      <x:c r="D7" s="22" t="n">
        <x:v>2225</x:v>
      </x:c>
      <x:c r="E7" s="22" t="n">
        <x:v>4.5</x:v>
      </x:c>
      <x:c r="F7" s="22" t="str">
        <x:v>ООО "БУРГЕР РУС"</x:v>
      </x:c>
      <x:c r="G7" s="22" t="str">
        <x:v>7719723690</x:v>
      </x:c>
      <x:c r="H7" s="22" t="str">
        <x:v>средняя</x:v>
      </x:c>
      <x:c r="I7" s="22" t="str">
        <x:v>оператор сети Burger King</x:v>
      </x:c>
      <x:c r="J7" s="23" t="n">
        <x:v>74455646</x:v>
      </x:c>
      <x:c r="K7" s="23" t="n">
        <x:v>90264478</x:v>
      </x:c>
      <x:c r="L7" s="23" t="n">
        <x:v>103954806</x:v>
      </x:c>
      <x:c r="M7" s="23" t="n">
        <x:v>15131005</x:v>
      </x:c>
      <x:c r="N7" s="23" t="n">
        <x:v>17291096</x:v>
      </x:c>
      <x:c r="O7" s="23" t="n">
        <x:v>17849571</x:v>
      </x:c>
      <x:c r="P7" s="23" t="n">
        <x:v>1799543</x:v>
      </x:c>
      <x:c r="Q7" s="23" t="n">
        <x:v>1634622</x:v>
      </x:c>
      <x:c r="R7" s="23" t="n">
        <x:v>637589</x:v>
      </x:c>
      <x:c r="S7" s="23" t="n">
        <x:v>0</x:v>
      </x:c>
      <x:c r="T7" s="23" t="n">
        <x:v>0</x:v>
      </x:c>
      <x:c r="U7" s="23" t="n">
        <x:v>0</x:v>
      </x:c>
      <x:c r="V7" s="22" t="str">
        <x:v>-</x:v>
      </x:c>
      <x:c r="W7" s="22" t="str">
        <x:v>-</x:v>
      </x:c>
      <x:c r="X7" s="22" t="str">
        <x:v>-</x:v>
      </x:c>
      <x:c r="Y7" s="23" t="n">
        <x:f>IF(COUNT(P7:R7)=0,"-",SUM(P7:R7))</x:f>
        <x:v>4071754</x:v>
      </x:c>
      <x:c r="Z7" s="23" t="n">
        <x:f>IF(COUNT(S7:U7)=0,"-",SUM(S7:U7))</x:f>
        <x:v>0</x:v>
      </x:c>
      <x:c r="AA7" s="24" t="n">
        <x:f>IF(AND(ISNUMBER(Y7),Y7&gt;0),((Y7-N(Z7))/Y7)*100,"-")</x:f>
        <x:v>100</x:v>
      </x:c>
      <x:c r="AB7" s="22" t="str">
        <x:v>БФО найдена; полнота данных 9/9.</x:v>
      </x:c>
    </x:row>
    <x:row r="8">
      <x:c r="A8" s="22" t="n">
        <x:v>185</x:v>
      </x:c>
      <x:c r="B8" s="22" t="str">
        <x:v>SBW х Subway</x:v>
      </x:c>
      <x:c r="C8" s="22" t="str">
        <x:v>Российская ул. 257</x:v>
      </x:c>
      <x:c r="D8" s="22" t="n">
        <x:v>501</x:v>
      </x:c>
      <x:c r="E8" s="22" t="n">
        <x:v>4.2</x:v>
      </x:c>
      <x:c r="F8" s="22" t="str">
        <x:v>ООО "ССК"</x:v>
      </x:c>
      <x:c r="G8" s="22" t="str">
        <x:v>7810476672</x:v>
      </x:c>
      <x:c r="H8" s="22" t="str">
        <x:v>низкая</x:v>
      </x:c>
      <x:c r="I8" s="22" t="str">
        <x:v>оператор Subway/Subjoy; карточка ФНС проверяется по ИНН</x:v>
      </x:c>
      <x:c r="J8" s="23" t="n">
        <x:v>75067</x:v>
      </x:c>
      <x:c r="K8" s="23" t="n">
        <x:v>156359</x:v>
      </x:c>
      <x:c r="L8" s="23" t="n">
        <x:v>117703</x:v>
      </x:c>
      <x:c r="M8" s="23" t="str">
        <x:v>-</x:v>
      </x:c>
      <x:c r="N8" s="23" t="str">
        <x:v>-</x:v>
      </x:c>
      <x:c r="O8" s="23" t="str">
        <x:v>-</x:v>
      </x:c>
      <x:c r="P8" s="23" t="n">
        <x:v>0</x:v>
      </x:c>
      <x:c r="Q8" s="23" t="n">
        <x:v>49593</x:v>
      </x:c>
      <x:c r="R8" s="23" t="n">
        <x:v>19567</x:v>
      </x:c>
      <x:c r="S8" s="23" t="n">
        <x:v>13678</x:v>
      </x:c>
      <x:c r="T8" s="23" t="n">
        <x:v>0</x:v>
      </x:c>
      <x:c r="U8" s="23" t="n">
        <x:v>0</x:v>
      </x:c>
      <x:c r="V8" s="22" t="str">
        <x:v>-</x:v>
      </x:c>
      <x:c r="W8" s="22" t="str">
        <x:v>-</x:v>
      </x:c>
      <x:c r="X8" s="22" t="str">
        <x:v>-</x:v>
      </x:c>
      <x:c r="Y8" s="23" t="n">
        <x:f>IF(COUNT(P8:R8)=0,"-",SUM(P8:R8))</x:f>
        <x:v>69160</x:v>
      </x:c>
      <x:c r="Z8" s="23" t="n">
        <x:f>IF(COUNT(S8:U8)=0,"-",SUM(S8:U8))</x:f>
        <x:v>13678</x:v>
      </x:c>
      <x:c r="AA8" s="24" t="n">
        <x:f>IF(AND(ISNUMBER(Y8),Y8&gt;0),((Y8-N(Z8))/Y8)*100,"-")</x:f>
        <x:v>80.22267206477733</x:v>
      </x:c>
      <x:c r="AB8" s="22" t="str">
        <x:v>БФО найдена; полнота данных 6/9.</x:v>
      </x:c>
    </x:row>
    <x:row r="9">
      <x:c r="A9" s="22" t="n">
        <x:v>186</x:v>
      </x:c>
      <x:c r="B9" s="22" t="str">
        <x:v>Шашлык Юга</x:v>
      </x:c>
      <x:c r="C9" s="22" t="str">
        <x:v>Российская ул. 267 корп. 5</x:v>
      </x:c>
      <x:c r="D9" s="22" t="n">
        <x:v>7</x:v>
      </x:c>
      <x:c r="E9" s="22" t="n">
        <x:v>4.1</x:v>
      </x:c>
      <x:c r="F9" s="22" t="str">
        <x:v>ООО "ЮГА"</x:v>
      </x:c>
      <x:c r="G9" s="22" t="str">
        <x:v>2317077292</x:v>
      </x:c>
      <x:c r="H9" s="22" t="str">
        <x:v>средняя</x:v>
      </x:c>
      <x:c r="I9" s="22" t="str">
        <x:v>автоподбор ФНС по названию; проверены ОКВЭД 56 и наличие БФО</x:v>
      </x:c>
      <x:c r="J9" s="23" t="n">
        <x:v>85124</x:v>
      </x:c>
      <x:c r="K9" s="23" t="n">
        <x:v>48614</x:v>
      </x:c>
      <x:c r="L9" s="23" t="n">
        <x:v>6</x:v>
      </x:c>
      <x:c r="M9" s="23" t="str">
        <x:v>-</x:v>
      </x:c>
      <x:c r="N9" s="23" t="str">
        <x:v>-</x:v>
      </x:c>
      <x:c r="O9" s="23" t="str">
        <x:v>-</x:v>
      </x:c>
      <x:c r="P9" s="23" t="n">
        <x:v>6566</x:v>
      </x:c>
      <x:c r="Q9" s="23" t="n">
        <x:v>10561</x:v>
      </x:c>
      <x:c r="R9" s="23" t="n">
        <x:v>0</x:v>
      </x:c>
      <x:c r="S9" s="23" t="n">
        <x:v>0</x:v>
      </x:c>
      <x:c r="T9" s="23" t="n">
        <x:v>0</x:v>
      </x:c>
      <x:c r="U9" s="23" t="n">
        <x:v>4797</x:v>
      </x:c>
      <x:c r="V9" s="22" t="str">
        <x:v>-</x:v>
      </x:c>
      <x:c r="W9" s="22" t="str">
        <x:v>-</x:v>
      </x:c>
      <x:c r="X9" s="22" t="str">
        <x:v>-</x:v>
      </x:c>
      <x:c r="Y9" s="23" t="n">
        <x:f>IF(COUNT(P9:R9)=0,"-",SUM(P9:R9))</x:f>
        <x:v>17127</x:v>
      </x:c>
      <x:c r="Z9" s="23" t="n">
        <x:f>IF(COUNT(S9:U9)=0,"-",SUM(S9:U9))</x:f>
        <x:v>4797</x:v>
      </x:c>
      <x:c r="AA9" s="24" t="n">
        <x:f>IF(AND(ISNUMBER(Y9),Y9&gt;0),((Y9-N(Z9))/Y9)*100,"-")</x:f>
        <x:v>71.9915922228061</x:v>
      </x:c>
      <x:c r="AB9" s="22" t="str">
        <x:v>БФО найдена; полнота данных 6/9.</x:v>
      </x:c>
    </x:row>
    <x:row r="10">
      <x:c r="A10" s="22" t="n">
        <x:v>187</x:v>
      </x:c>
      <x:c r="B10" s="22" t="str">
        <x:v>Вкусно — и точка</x:v>
      </x:c>
      <x:c r="C10" s="22" t="str">
        <x:v>Московская ул. 162</x:v>
      </x:c>
      <x:c r="D10" s="22" t="n">
        <x:v>1580</x:v>
      </x:c>
      <x:c r="E10" s="22" t="n">
        <x:v>4.4</x:v>
      </x:c>
      <x:c r="F10" s="22" t="str">
        <x:v>ООО "СИСТЕМА ПБО"</x:v>
      </x:c>
      <x:c r="G10" s="22" t="str">
        <x:v>7710044140</x:v>
      </x:c>
      <x:c r="H10" s="22" t="str">
        <x:v>высокая</x:v>
      </x:c>
      <x:c r="I10" s="22" t="str">
        <x:v>оператор сети Вкусно — и точка</x:v>
      </x:c>
      <x:c r="J10" s="23" t="n">
        <x:v>155745210</x:v>
      </x:c>
      <x:c r="K10" s="23" t="n">
        <x:v>187357965</x:v>
      </x:c>
      <x:c r="L10" s="23" t="n">
        <x:v>218572895</x:v>
      </x:c>
      <x:c r="M10" s="23" t="n">
        <x:v>27475435</x:v>
      </x:c>
      <x:c r="N10" s="23" t="n">
        <x:v>35440526</x:v>
      </x:c>
      <x:c r="O10" s="23" t="n">
        <x:v>37855764</x:v>
      </x:c>
      <x:c r="P10" s="23" t="n">
        <x:v>14174325</x:v>
      </x:c>
      <x:c r="Q10" s="23" t="n">
        <x:v>16959735</x:v>
      </x:c>
      <x:c r="R10" s="23" t="n">
        <x:v>14405355</x:v>
      </x:c>
      <x:c r="S10" s="23" t="n">
        <x:v>0</x:v>
      </x:c>
      <x:c r="T10" s="23" t="n">
        <x:v>0</x:v>
      </x:c>
      <x:c r="U10" s="23" t="n">
        <x:v>0</x:v>
      </x:c>
      <x:c r="V10" s="22" t="str">
        <x:v>-</x:v>
      </x:c>
      <x:c r="W10" s="22" t="str">
        <x:v>-</x:v>
      </x:c>
      <x:c r="X10" s="22" t="str">
        <x:v>-</x:v>
      </x:c>
      <x:c r="Y10" s="23" t="n">
        <x:f>IF(COUNT(P10:R10)=0,"-",SUM(P10:R10))</x:f>
        <x:v>45539415</x:v>
      </x:c>
      <x:c r="Z10" s="23" t="n">
        <x:f>IF(COUNT(S10:U10)=0,"-",SUM(S10:U10))</x:f>
        <x:v>0</x:v>
      </x:c>
      <x:c r="AA10" s="24" t="n">
        <x:f>IF(AND(ISNUMBER(Y10),Y10&gt;0),((Y10-N(Z10))/Y10)*100,"-")</x:f>
        <x:v>100</x:v>
      </x:c>
      <x:c r="AB10" s="22" t="str">
        <x:v>БФО найдена; полнота данных 9/9.</x:v>
      </x:c>
    </x:row>
    <x:row r="11">
      <x:c r="A11" s="22" t="n">
        <x:v>188</x:v>
      </x:c>
      <x:c r="B11" s="22" t="str">
        <x:v>Дар Пицца</x:v>
      </x:c>
      <x:c r="C11" s="22" t="str">
        <x:v>ул. Красных Партизан 443/1</x:v>
      </x:c>
      <x:c r="D11" s="22" t="n">
        <x:v>1429</x:v>
      </x:c>
      <x:c r="E11" s="22" t="n">
        <x:v>4.4</x:v>
      </x:c>
      <x:c r="F11" s="22" t="str">
        <x:v>ООО "ПИЦЦА КРАСНОДАР"</x:v>
      </x:c>
      <x:c r="G11" s="22" t="str">
        <x:v>2311356162</x:v>
      </x:c>
      <x:c r="H11" s="22" t="str">
        <x:v>средняя</x:v>
      </x:c>
      <x:c r="I11" s="22" t="str">
        <x:v>поиск ФНС по связке 'Дар Пицца Краснодар'; регион Краснодарский, ОКВЭД 56.10</x:v>
      </x:c>
      <x:c r="J11" s="23" t="str">
        <x:v>-</x:v>
      </x:c>
      <x:c r="K11" s="23" t="n">
        <x:v>106727</x:v>
      </x:c>
      <x:c r="L11" s="23" t="n">
        <x:v>209579</x:v>
      </x:c>
      <x:c r="M11" s="23" t="str">
        <x:v>-</x:v>
      </x:c>
      <x:c r="N11" s="23" t="str">
        <x:v>-</x:v>
      </x:c>
      <x:c r="O11" s="23" t="str">
        <x:v>-</x:v>
      </x:c>
      <x:c r="P11" s="23" t="str">
        <x:v>-</x:v>
      </x:c>
      <x:c r="Q11" s="23" t="n">
        <x:v>485</x:v>
      </x:c>
      <x:c r="R11" s="23" t="n">
        <x:v>116</x:v>
      </x:c>
      <x:c r="S11" s="23" t="str">
        <x:v>-</x:v>
      </x:c>
      <x:c r="T11" s="23" t="n">
        <x:v>0</x:v>
      </x:c>
      <x:c r="U11" s="23" t="n">
        <x:v>0</x:v>
      </x:c>
      <x:c r="V11" s="22" t="str">
        <x:v>-</x:v>
      </x:c>
      <x:c r="W11" s="22" t="str">
        <x:v>-</x:v>
      </x:c>
      <x:c r="X11" s="22" t="str">
        <x:v>-</x:v>
      </x:c>
      <x:c r="Y11" s="23" t="n">
        <x:f>IF(COUNT(P11:R11)=0,"-",SUM(P11:R11))</x:f>
        <x:v>601</x:v>
      </x:c>
      <x:c r="Z11" s="23" t="n">
        <x:f>IF(COUNT(S11:U11)=0,"-",SUM(S11:U11))</x:f>
        <x:v>0</x:v>
      </x:c>
      <x:c r="AA11" s="24" t="n">
        <x:f>IF(AND(ISNUMBER(Y11),Y11&gt;0),((Y11-N(Z11))/Y11)*100,"-")</x:f>
        <x:v>100</x:v>
      </x:c>
      <x:c r="AB11" s="22" t="str">
        <x:v>БФО найдена; полнота данных 4/9.</x:v>
      </x:c>
    </x:row>
    <x:row r="12">
      <x:c r="A12" s="22" t="n">
        <x:v>193</x:v>
      </x:c>
      <x:c r="B12" s="22" t="str">
        <x:v>СушиВесла</x:v>
      </x:c>
      <x:c r="C12" s="22" t="str">
        <x:v>Темрюкская ул. 145 микрорайон Славянский Прикубанский внутригородской округ Краснодар</x:v>
      </x:c>
      <x:c r="D12" s="22" t="n">
        <x:v>170</x:v>
      </x:c>
      <x:c r="E12" s="22" t="n">
        <x:v>4.4</x:v>
      </x:c>
      <x:c r="F12" s="22" t="str">
        <x:v>ООО "УПРАВЛЯЮЩАЯ КОМПАНИЯ "СУШИВЕСЛА"</x:v>
      </x:c>
      <x:c r="G12" s="22" t="str">
        <x:v>3444210862</x:v>
      </x:c>
      <x:c r="H12" s="22" t="str">
        <x:v>средняя</x:v>
      </x:c>
      <x:c r="I12" s="22" t="str">
        <x:v>управляющая компания бренда СушиВесла</x:v>
      </x:c>
      <x:c r="J12" s="23" t="n">
        <x:v>158039</x:v>
      </x:c>
      <x:c r="K12" s="23" t="n">
        <x:v>173572</x:v>
      </x:c>
      <x:c r="L12" s="23" t="n">
        <x:v>166280</x:v>
      </x:c>
      <x:c r="M12" s="23" t="n">
        <x:v>144977</x:v>
      </x:c>
      <x:c r="N12" s="23" t="n">
        <x:v>173572</x:v>
      </x:c>
      <x:c r="O12" s="23" t="n">
        <x:v>166280</x:v>
      </x:c>
      <x:c r="P12" s="23" t="n">
        <x:v>26406</x:v>
      </x:c>
      <x:c r="Q12" s="23" t="n">
        <x:v>16663</x:v>
      </x:c>
      <x:c r="R12" s="23" t="n">
        <x:v>7125</x:v>
      </x:c>
      <x:c r="S12" s="23" t="n">
        <x:v>0</x:v>
      </x:c>
      <x:c r="T12" s="23" t="n">
        <x:v>0</x:v>
      </x:c>
      <x:c r="U12" s="23" t="n">
        <x:v>0</x:v>
      </x:c>
      <x:c r="V12" s="22" t="str">
        <x:v>-</x:v>
      </x:c>
      <x:c r="W12" s="22" t="str">
        <x:v>-</x:v>
      </x:c>
      <x:c r="X12" s="22" t="str">
        <x:v>-</x:v>
      </x:c>
      <x:c r="Y12" s="23" t="n">
        <x:f>IF(COUNT(P12:R12)=0,"-",SUM(P12:R12))</x:f>
        <x:v>50194</x:v>
      </x:c>
      <x:c r="Z12" s="23" t="n">
        <x:f>IF(COUNT(S12:U12)=0,"-",SUM(S12:U12))</x:f>
        <x:v>0</x:v>
      </x:c>
      <x:c r="AA12" s="24" t="n">
        <x:f>IF(AND(ISNUMBER(Y12),Y12&gt;0),((Y12-N(Z12))/Y12)*100,"-")</x:f>
        <x:v>100</x:v>
      </x:c>
      <x:c r="AB12" s="22" t="str">
        <x:v>БФО найдена; полнота данных 9/9.</x:v>
      </x:c>
    </x:row>
    <x:row r="13">
      <x:c r="A13" s="22" t="n">
        <x:v>194</x:v>
      </x:c>
      <x:c r="B13" s="22" t="str">
        <x:v>Шашлычная</x:v>
      </x:c>
      <x:c r="C13" s="22" t="str">
        <x:v>Круговая ул. 26А Краснодар</x:v>
      </x:c>
      <x:c r="D13" s="22" t="n">
        <x:v>32</x:v>
      </x:c>
      <x:c r="E13" s="22" t="n">
        <x:v>4.3</x:v>
      </x:c>
      <x:c r="F13" s="22" t="str">
        <x:v>ООО "ШАШЛЫЧНАЯ"</x:v>
      </x:c>
      <x:c r="G13" s="22" t="str">
        <x:v>2312321155</x:v>
      </x:c>
      <x:c r="H13" s="22" t="str">
        <x:v>средняя</x:v>
      </x:c>
      <x:c r="I13" s="22" t="str">
        <x:v>автоподбор ФНС по названию; проверены ОКВЭД 56 и наличие БФО</x:v>
      </x:c>
      <x:c r="J13" s="23" t="n">
        <x:v>24947</x:v>
      </x:c>
      <x:c r="K13" s="23" t="n">
        <x:v>135922</x:v>
      </x:c>
      <x:c r="L13" s="23" t="n">
        <x:v>140444</x:v>
      </x:c>
      <x:c r="M13" s="23" t="str">
        <x:v>-</x:v>
      </x:c>
      <x:c r="N13" s="23" t="str">
        <x:v>-</x:v>
      </x:c>
      <x:c r="O13" s="23" t="str">
        <x:v>-</x:v>
      </x:c>
      <x:c r="P13" s="23" t="n">
        <x:v>0</x:v>
      </x:c>
      <x:c r="Q13" s="23" t="n">
        <x:v>6636</x:v>
      </x:c>
      <x:c r="R13" s="23" t="n">
        <x:v>737</x:v>
      </x:c>
      <x:c r="S13" s="23" t="n">
        <x:v>6176</x:v>
      </x:c>
      <x:c r="T13" s="23" t="n">
        <x:v>0</x:v>
      </x:c>
      <x:c r="U13" s="23" t="n">
        <x:v>0</x:v>
      </x:c>
      <x:c r="V13" s="22" t="str">
        <x:v>-</x:v>
      </x:c>
      <x:c r="W13" s="22" t="str">
        <x:v>-</x:v>
      </x:c>
      <x:c r="X13" s="22" t="str">
        <x:v>-</x:v>
      </x:c>
      <x:c r="Y13" s="23" t="n">
        <x:f>IF(COUNT(P13:R13)=0,"-",SUM(P13:R13))</x:f>
        <x:v>7373</x:v>
      </x:c>
      <x:c r="Z13" s="23" t="n">
        <x:f>IF(COUNT(S13:U13)=0,"-",SUM(S13:U13))</x:f>
        <x:v>6176</x:v>
      </x:c>
      <x:c r="AA13" s="24" t="n">
        <x:f>IF(AND(ISNUMBER(Y13),Y13&gt;0),((Y13-N(Z13))/Y13)*100,"-")</x:f>
        <x:v>16.23491116234911</x:v>
      </x:c>
      <x:c r="AB13" s="22" t="str">
        <x:v>БФО найдена; полнота данных 6/9.</x:v>
      </x:c>
    </x:row>
    <x:row r="14">
      <x:c r="A14" s="22" t="n">
        <x:v>198</x:v>
      </x:c>
      <x:c r="B14" s="22" t="str">
        <x:v>Rostic's</x:v>
      </x:c>
      <x:c r="C14" s="22" t="str">
        <x:v>ул. Западный Обход 31</x:v>
      </x:c>
      <x:c r="D14" s="22" t="n">
        <x:v>258</x:v>
      </x:c>
      <x:c r="E14" s="22" t="n">
        <x:v>4.1</x:v>
      </x:c>
      <x:c r="F14" s="22" t="str">
        <x:v>ООО "ЮНИРЕСТ"</x:v>
      </x:c>
      <x:c r="G14" s="22" t="str">
        <x:v>7722561551</x:v>
      </x:c>
      <x:c r="H14" s="22" t="str">
        <x:v>средняя</x:v>
      </x:c>
      <x:c r="I14" s="22" t="str">
        <x:v>оператор сети Rostic’s</x:v>
      </x:c>
      <x:c r="J14" s="23" t="n">
        <x:v>20168953</x:v>
      </x:c>
      <x:c r="K14" s="23" t="n">
        <x:v>25930672</x:v>
      </x:c>
      <x:c r="L14" s="23" t="n">
        <x:v>30813210</x:v>
      </x:c>
      <x:c r="M14" s="23" t="n">
        <x:v>14955521</x:v>
      </x:c>
      <x:c r="N14" s="23" t="n">
        <x:v>20142693</x:v>
      </x:c>
      <x:c r="O14" s="23" t="n">
        <x:v>24240245</x:v>
      </x:c>
      <x:c r="P14" s="23" t="n">
        <x:v>3539841</x:v>
      </x:c>
      <x:c r="Q14" s="23" t="n">
        <x:v>5678938</x:v>
      </x:c>
      <x:c r="R14" s="23" t="n">
        <x:v>4115411</x:v>
      </x:c>
      <x:c r="S14" s="23" t="n">
        <x:v>0</x:v>
      </x:c>
      <x:c r="T14" s="23" t="n">
        <x:v>0</x:v>
      </x:c>
      <x:c r="U14" s="23" t="n">
        <x:v>0</x:v>
      </x:c>
      <x:c r="V14" s="22" t="str">
        <x:v>-</x:v>
      </x:c>
      <x:c r="W14" s="22" t="str">
        <x:v>-</x:v>
      </x:c>
      <x:c r="X14" s="22" t="str">
        <x:v>-</x:v>
      </x:c>
      <x:c r="Y14" s="23" t="n">
        <x:f>IF(COUNT(P14:R14)=0,"-",SUM(P14:R14))</x:f>
        <x:v>13334190</x:v>
      </x:c>
      <x:c r="Z14" s="23" t="n">
        <x:f>IF(COUNT(S14:U14)=0,"-",SUM(S14:U14))</x:f>
        <x:v>0</x:v>
      </x:c>
      <x:c r="AA14" s="24" t="n">
        <x:f>IF(AND(ISNUMBER(Y14),Y14&gt;0),((Y14-N(Z14))/Y14)*100,"-")</x:f>
        <x:v>100</x:v>
      </x:c>
      <x:c r="AB14" s="22" t="str">
        <x:v>БФО найдена; полнота данных 9/9.</x:v>
      </x:c>
    </x:row>
    <x:row r="15">
      <x:c r="A15" s="22" t="n">
        <x:v>204</x:v>
      </x:c>
      <x:c r="B15" s="22" t="str">
        <x:v>Маленькая Азия</x:v>
      </x:c>
      <x:c r="C15" s="22" t="str">
        <x:v>ул. Марины Цветаевой 7 корп. 1 микрорайон Догма Парк</x:v>
      </x:c>
      <x:c r="D15" s="22" t="n">
        <x:v>7</x:v>
      </x:c>
      <x:c r="E15" s="22" t="n">
        <x:v>4</x:v>
      </x:c>
      <x:c r="F15" s="22" t="str">
        <x:v>ООО "МАЛЕНЬКАЯ АЗИЯ"</x:v>
      </x:c>
      <x:c r="G15" s="22" t="str">
        <x:v>4909126110</x:v>
      </x:c>
      <x:c r="H15" s="22" t="str">
        <x:v>средняя</x:v>
      </x:c>
      <x:c r="I15" s="22" t="str">
        <x:v>автоподбор ФНС по названию; проверены ОКВЭД 56 и наличие БФО</x:v>
      </x:c>
      <x:c r="J15" s="23" t="n">
        <x:v>22401</x:v>
      </x:c>
      <x:c r="K15" s="23" t="n">
        <x:v>9774</x:v>
      </x:c>
      <x:c r="L15" s="23" t="str">
        <x:v>-</x:v>
      </x:c>
      <x:c r="M15" s="23" t="str">
        <x:v>-</x:v>
      </x:c>
      <x:c r="N15" s="23" t="str">
        <x:v>-</x:v>
      </x:c>
      <x:c r="O15" s="23" t="str">
        <x:v>-</x:v>
      </x:c>
      <x:c r="P15" s="23" t="n">
        <x:v>600</x:v>
      </x:c>
      <x:c r="Q15" s="23" t="n">
        <x:v>481</x:v>
      </x:c>
      <x:c r="R15" s="23" t="str">
        <x:v>-</x:v>
      </x:c>
      <x:c r="S15" s="23" t="n">
        <x:v>0</x:v>
      </x:c>
      <x:c r="T15" s="23" t="n">
        <x:v>0</x:v>
      </x:c>
      <x:c r="U15" s="23" t="str">
        <x:v>-</x:v>
      </x:c>
      <x:c r="V15" s="22" t="str">
        <x:v>-</x:v>
      </x:c>
      <x:c r="W15" s="22" t="str">
        <x:v>-</x:v>
      </x:c>
      <x:c r="X15" s="22" t="str">
        <x:v>-</x:v>
      </x:c>
      <x:c r="Y15" s="23" t="n">
        <x:f>IF(COUNT(P15:R15)=0,"-",SUM(P15:R15))</x:f>
        <x:v>1081</x:v>
      </x:c>
      <x:c r="Z15" s="23" t="n">
        <x:f>IF(COUNT(S15:U15)=0,"-",SUM(S15:U15))</x:f>
        <x:v>0</x:v>
      </x:c>
      <x:c r="AA15" s="24" t="n">
        <x:f>IF(AND(ISNUMBER(Y15),Y15&gt;0),((Y15-N(Z15))/Y15)*100,"-")</x:f>
        <x:v>100</x:v>
      </x:c>
      <x:c r="AB15" s="22" t="str">
        <x:v>БФО найдена; полнота данных 4/9.</x:v>
      </x:c>
    </x:row>
    <x:row r="16">
      <x:c r="A16" s="22" t="n">
        <x:v>208</x:v>
      </x:c>
      <x:c r="B16" s="22" t="str">
        <x:v>Шаурма Дубай</x:v>
      </x:c>
      <x:c r="C16" s="22" t="str">
        <x:v>Зиповская ул. 34Б микрорайон Завод Измерительных Приборов</x:v>
      </x:c>
      <x:c r="D16" s="22" t="n">
        <x:v>19</x:v>
      </x:c>
      <x:c r="E16" s="22" t="n">
        <x:v>4.4</x:v>
      </x:c>
      <x:c r="F16" s="22" t="str">
        <x:v>ООО "ДУБАЙ"</x:v>
      </x:c>
      <x:c r="G16" s="22" t="str">
        <x:v>2320250638</x:v>
      </x:c>
      <x:c r="H16" s="22" t="str">
        <x:v>средняя</x:v>
      </x:c>
      <x:c r="I16" s="22" t="str">
        <x:v>автоподбор ФНС по названию; проверены ОКВЭД 56 и наличие БФО</x:v>
      </x:c>
      <x:c r="J16" s="23" t="n">
        <x:v>18792</x:v>
      </x:c>
      <x:c r="K16" s="23" t="n">
        <x:v>20280</x:v>
      </x:c>
      <x:c r="L16" s="23" t="n">
        <x:v>19983</x:v>
      </x:c>
      <x:c r="M16" s="23" t="str">
        <x:v>-</x:v>
      </x:c>
      <x:c r="N16" s="23" t="str">
        <x:v>-</x:v>
      </x:c>
      <x:c r="O16" s="23" t="str">
        <x:v>-</x:v>
      </x:c>
      <x:c r="P16" s="23" t="n">
        <x:v>336</x:v>
      </x:c>
      <x:c r="Q16" s="23" t="n">
        <x:v>189</x:v>
      </x:c>
      <x:c r="R16" s="23" t="n">
        <x:v>490</x:v>
      </x:c>
      <x:c r="S16" s="23" t="n">
        <x:v>0</x:v>
      </x:c>
      <x:c r="T16" s="23" t="n">
        <x:v>0</x:v>
      </x:c>
      <x:c r="U16" s="23" t="n">
        <x:v>0</x:v>
      </x:c>
      <x:c r="V16" s="22" t="str">
        <x:v>-</x:v>
      </x:c>
      <x:c r="W16" s="22" t="str">
        <x:v>-</x:v>
      </x:c>
      <x:c r="X16" s="22" t="str">
        <x:v>-</x:v>
      </x:c>
      <x:c r="Y16" s="23" t="n">
        <x:f>IF(COUNT(P16:R16)=0,"-",SUM(P16:R16))</x:f>
        <x:v>1015</x:v>
      </x:c>
      <x:c r="Z16" s="23" t="n">
        <x:f>IF(COUNT(S16:U16)=0,"-",SUM(S16:U16))</x:f>
        <x:v>0</x:v>
      </x:c>
      <x:c r="AA16" s="24" t="n">
        <x:f>IF(AND(ISNUMBER(Y16),Y16&gt;0),((Y16-N(Z16))/Y16)*100,"-")</x:f>
        <x:v>100</x:v>
      </x:c>
      <x:c r="AB16" s="22" t="str">
        <x:v>БФО найдена; полнота данных 6/9.</x:v>
      </x:c>
    </x:row>
    <x:row r="17">
      <x:c r="A17" s="22" t="n">
        <x:v>209</x:v>
      </x:c>
      <x:c r="B17" s="22" t="str">
        <x:v>Искусство и Кофе</x:v>
      </x:c>
      <x:c r="C17" s="22" t="str">
        <x:v>Зиповская ул. 34Б микрорайон Завод Измерительных Приборов</x:v>
      </x:c>
      <x:c r="D17" s="22" t="n">
        <x:v>15</x:v>
      </x:c>
      <x:c r="E17" s="22" t="n">
        <x:v>4.5</x:v>
      </x:c>
      <x:c r="F17" s="22" t="str">
        <x:v>ООО "ИСКУССТВО"</x:v>
      </x:c>
      <x:c r="G17" s="22" t="str">
        <x:v>0278981187</x:v>
      </x:c>
      <x:c r="H17" s="22" t="str">
        <x:v>низкая</x:v>
      </x:c>
      <x:c r="I17" s="22" t="str">
        <x:v>автоподбор ФНС по названию; проверены ОКВЭД 56 и наличие БФО</x:v>
      </x:c>
      <x:c r="J17" s="23" t="str">
        <x:v>-</x:v>
      </x:c>
      <x:c r="K17" s="23" t="n">
        <x:v>14477</x:v>
      </x:c>
      <x:c r="L17" s="23" t="n">
        <x:v>30944</x:v>
      </x:c>
      <x:c r="M17" s="23" t="str">
        <x:v>-</x:v>
      </x:c>
      <x:c r="N17" s="23" t="str">
        <x:v>-</x:v>
      </x:c>
      <x:c r="O17" s="23" t="str">
        <x:v>-</x:v>
      </x:c>
      <x:c r="P17" s="23" t="str">
        <x:v>-</x:v>
      </x:c>
      <x:c r="Q17" s="23" t="n">
        <x:v>506</x:v>
      </x:c>
      <x:c r="R17" s="23" t="n">
        <x:v>5156</x:v>
      </x:c>
      <x:c r="S17" s="23" t="str">
        <x:v>-</x:v>
      </x:c>
      <x:c r="T17" s="23" t="n">
        <x:v>0</x:v>
      </x:c>
      <x:c r="U17" s="23" t="n">
        <x:v>0</x:v>
      </x:c>
      <x:c r="V17" s="22" t="str">
        <x:v>-</x:v>
      </x:c>
      <x:c r="W17" s="22" t="str">
        <x:v>-</x:v>
      </x:c>
      <x:c r="X17" s="22" t="str">
        <x:v>-</x:v>
      </x:c>
      <x:c r="Y17" s="23" t="n">
        <x:f>IF(COUNT(P17:R17)=0,"-",SUM(P17:R17))</x:f>
        <x:v>5662</x:v>
      </x:c>
      <x:c r="Z17" s="23" t="n">
        <x:f>IF(COUNT(S17:U17)=0,"-",SUM(S17:U17))</x:f>
        <x:v>0</x:v>
      </x:c>
      <x:c r="AA17" s="24" t="n">
        <x:f>IF(AND(ISNUMBER(Y17),Y17&gt;0),((Y17-N(Z17))/Y17)*100,"-")</x:f>
        <x:v>100</x:v>
      </x:c>
      <x:c r="AB17" s="22" t="str">
        <x:v>БФО найдена; полнота данных 4/9.</x:v>
      </x:c>
    </x:row>
    <x:row r="18">
      <x:c r="A18" s="22" t="n">
        <x:v>214</x:v>
      </x:c>
      <x:c r="B18" s="22" t="str">
        <x:v>ПроСуши</x:v>
      </x:c>
      <x:c r="C18" s="22" t="str">
        <x:v>Ставропольская ул. 97/1</x:v>
      </x:c>
      <x:c r="D18" s="22" t="n">
        <x:v>712</x:v>
      </x:c>
      <x:c r="E18" s="22" t="n">
        <x:v>4.5</x:v>
      </x:c>
      <x:c r="F18" s="22" t="str">
        <x:v>ООО "ПРОСУШИ М"</x:v>
      </x:c>
      <x:c r="G18" s="22" t="str">
        <x:v>7717289460</x:v>
      </x:c>
      <x:c r="H18" s="22" t="str">
        <x:v>средняя</x:v>
      </x:c>
      <x:c r="I18" s="22" t="str">
        <x:v>автоподбор ФНС по названию; проверены ОКВЭД 56 и наличие БФО</x:v>
      </x:c>
      <x:c r="J18" s="23" t="n">
        <x:v>43738</x:v>
      </x:c>
      <x:c r="K18" s="23" t="n">
        <x:v>824</x:v>
      </x:c>
      <x:c r="L18" s="23" t="n">
        <x:v>1922</x:v>
      </x:c>
      <x:c r="M18" s="23" t="str">
        <x:v>-</x:v>
      </x:c>
      <x:c r="N18" s="23" t="str">
        <x:v>-</x:v>
      </x:c>
      <x:c r="O18" s="23" t="str">
        <x:v>-</x:v>
      </x:c>
      <x:c r="P18" s="23" t="n">
        <x:v>0</x:v>
      </x:c>
      <x:c r="Q18" s="23" t="n">
        <x:v>0</x:v>
      </x:c>
      <x:c r="R18" s="23" t="n">
        <x:v>0</x:v>
      </x:c>
      <x:c r="S18" s="23" t="n">
        <x:v>1295</x:v>
      </x:c>
      <x:c r="T18" s="23" t="n">
        <x:v>2707</x:v>
      </x:c>
      <x:c r="U18" s="23" t="n">
        <x:v>665</x:v>
      </x:c>
      <x:c r="V18" s="22" t="str">
        <x:v>-</x:v>
      </x:c>
      <x:c r="W18" s="22" t="str">
        <x:v>-</x:v>
      </x:c>
      <x:c r="X18" s="22" t="str">
        <x:v>-</x:v>
      </x:c>
      <x:c r="Y18" s="23" t="n">
        <x:f>IF(COUNT(P18:R18)=0,"-",SUM(P18:R18))</x:f>
        <x:v>0</x:v>
      </x:c>
      <x:c r="Z18" s="23" t="n">
        <x:f>IF(COUNT(S18:U18)=0,"-",SUM(S18:U18))</x:f>
        <x:v>4667</x:v>
      </x:c>
      <x:c r="AA18" s="24" t="str">
        <x:f>IF(AND(ISNUMBER(Y18),Y18&gt;0),((Y18-N(Z18))/Y18)*100,"-")</x:f>
        <x:v>-</x:v>
      </x:c>
      <x:c r="AB18" s="22" t="str">
        <x:v>Резервная строка: показатели не подставлялись, в ФНС БФО не найдено достаточно данных для расчета эффективности.</x:v>
      </x:c>
    </x:row>
    <x:row r="19">
      <x:c r="A19" s="22" t="n">
        <x:v>216</x:v>
      </x:c>
      <x:c r="B19" s="22" t="str">
        <x:v>Лейка&amp;Кофейка</x:v>
      </x:c>
      <x:c r="C19" s="22" t="str">
        <x:v>Ставропольская ул. 129</x:v>
      </x:c>
      <x:c r="D19" s="22" t="n">
        <x:v>15</x:v>
      </x:c>
      <x:c r="E19" s="22" t="n">
        <x:v>4.4</x:v>
      </x:c>
      <x:c r="F19" s="22" t="str">
        <x:v>ООО "КОФЕЙКА"</x:v>
      </x:c>
      <x:c r="G19" s="22" t="str">
        <x:v>7743052121</x:v>
      </x:c>
      <x:c r="H19" s="22" t="str">
        <x:v>низкая</x:v>
      </x:c>
      <x:c r="I19" s="22" t="str">
        <x:v>автоподбор ФНС по названию; проверены ОКВЭД 56 и наличие БФО</x:v>
      </x:c>
      <x:c r="J19" s="23" t="n">
        <x:v>81759</x:v>
      </x:c>
      <x:c r="K19" s="23" t="n">
        <x:v>87683</x:v>
      </x:c>
      <x:c r="L19" s="23" t="n">
        <x:v>91579</x:v>
      </x:c>
      <x:c r="M19" s="23" t="str">
        <x:v>-</x:v>
      </x:c>
      <x:c r="N19" s="23" t="str">
        <x:v>-</x:v>
      </x:c>
      <x:c r="O19" s="23" t="str">
        <x:v>-</x:v>
      </x:c>
      <x:c r="P19" s="23" t="n">
        <x:v>2117</x:v>
      </x:c>
      <x:c r="Q19" s="23" t="n">
        <x:v>17949</x:v>
      </x:c>
      <x:c r="R19" s="23" t="n">
        <x:v>1559</x:v>
      </x:c>
      <x:c r="S19" s="23" t="n">
        <x:v>0</x:v>
      </x:c>
      <x:c r="T19" s="23" t="n">
        <x:v>0</x:v>
      </x:c>
      <x:c r="U19" s="23" t="n">
        <x:v>0</x:v>
      </x:c>
      <x:c r="V19" s="22" t="str">
        <x:v>-</x:v>
      </x:c>
      <x:c r="W19" s="22" t="str">
        <x:v>-</x:v>
      </x:c>
      <x:c r="X19" s="22" t="str">
        <x:v>-</x:v>
      </x:c>
      <x:c r="Y19" s="23" t="n">
        <x:f>IF(COUNT(P19:R19)=0,"-",SUM(P19:R19))</x:f>
        <x:v>21625</x:v>
      </x:c>
      <x:c r="Z19" s="23" t="n">
        <x:f>IF(COUNT(S19:U19)=0,"-",SUM(S19:U19))</x:f>
        <x:v>0</x:v>
      </x:c>
      <x:c r="AA19" s="24" t="n">
        <x:f>IF(AND(ISNUMBER(Y19),Y19&gt;0),((Y19-N(Z19))/Y19)*100,"-")</x:f>
        <x:v>100</x:v>
      </x:c>
      <x:c r="AB19" s="22" t="str">
        <x:v>БФО найдена; полнота данных 6/9.</x:v>
      </x:c>
    </x:row>
    <x:row r="20">
      <x:c r="A20" s="22" t="n">
        <x:v>217</x:v>
      </x:c>
      <x:c r="B20" s="22" t="str">
        <x:v>Баблс</x:v>
      </x:c>
      <x:c r="C20" s="22" t="str">
        <x:v>Ставропольская ул. 137 Краснодар</x:v>
      </x:c>
      <x:c r="D20" s="22" t="n">
        <x:v>78</x:v>
      </x:c>
      <x:c r="E20" s="22" t="n">
        <x:v>4.5</x:v>
      </x:c>
      <x:c r="F20" s="22" t="str">
        <x:v>ООО "БАБЛС"</x:v>
      </x:c>
      <x:c r="G20" s="22" t="str">
        <x:v>2721254750</x:v>
      </x:c>
      <x:c r="H20" s="22" t="str">
        <x:v>средняя</x:v>
      </x:c>
      <x:c r="I20" s="22" t="str">
        <x:v>автоподбор ФНС по названию; проверены ОКВЭД 56 и наличие БФО</x:v>
      </x:c>
      <x:c r="J20" s="23" t="n">
        <x:v>4663</x:v>
      </x:c>
      <x:c r="K20" s="23" t="str">
        <x:v>-</x:v>
      </x:c>
      <x:c r="L20" s="23" t="str">
        <x:v>-</x:v>
      </x:c>
      <x:c r="M20" s="23" t="str">
        <x:v>-</x:v>
      </x:c>
      <x:c r="N20" s="23" t="str">
        <x:v>-</x:v>
      </x:c>
      <x:c r="O20" s="23" t="str">
        <x:v>-</x:v>
      </x:c>
      <x:c r="P20" s="23" t="n">
        <x:v>82</x:v>
      </x:c>
      <x:c r="Q20" s="23" t="str">
        <x:v>-</x:v>
      </x:c>
      <x:c r="R20" s="23" t="str">
        <x:v>-</x:v>
      </x:c>
      <x:c r="S20" s="23" t="n">
        <x:v>0</x:v>
      </x:c>
      <x:c r="T20" s="23" t="str">
        <x:v>-</x:v>
      </x:c>
      <x:c r="U20" s="23" t="str">
        <x:v>-</x:v>
      </x:c>
      <x:c r="V20" s="22" t="str">
        <x:v>-</x:v>
      </x:c>
      <x:c r="W20" s="22" t="str">
        <x:v>-</x:v>
      </x:c>
      <x:c r="X20" s="22" t="str">
        <x:v>-</x:v>
      </x:c>
      <x:c r="Y20" s="23" t="n">
        <x:f>IF(COUNT(P20:R20)=0,"-",SUM(P20:R20))</x:f>
        <x:v>82</x:v>
      </x:c>
      <x:c r="Z20" s="23" t="n">
        <x:f>IF(COUNT(S20:U20)=0,"-",SUM(S20:U20))</x:f>
        <x:v>0</x:v>
      </x:c>
      <x:c r="AA20" s="24" t="n">
        <x:f>IF(AND(ISNUMBER(Y20),Y20&gt;0),((Y20-N(Z20))/Y20)*100,"-")</x:f>
        <x:v>100</x:v>
      </x:c>
      <x:c r="AB20" s="22" t="str">
        <x:v>БФО найдена; полнота данных 2/9.</x:v>
      </x:c>
    </x:row>
    <x:row r="21">
      <x:c r="A21" s="22" t="n">
        <x:v>220</x:v>
      </x:c>
      <x:c r="B21" s="22" t="str">
        <x:v>The Кухня</x:v>
      </x:c>
      <x:c r="C21" s="22" t="str">
        <x:v>Ставропольская ул. 220/2</x:v>
      </x:c>
      <x:c r="D21" s="22" t="n">
        <x:v>647</x:v>
      </x:c>
      <x:c r="E21" s="22" t="n">
        <x:v>4.3</x:v>
      </x:c>
      <x:c r="F21" s="22" t="str">
        <x:v>ООО "КУХНЯ"</x:v>
      </x:c>
      <x:c r="G21" s="22" t="str">
        <x:v>7813671262</x:v>
      </x:c>
      <x:c r="H21" s="22" t="str">
        <x:v>низкая</x:v>
      </x:c>
      <x:c r="I21" s="22" t="str">
        <x:v>автоподбор ФНС по названию; проверены ОКВЭД 56 и наличие БФО</x:v>
      </x:c>
      <x:c r="J21" s="23" t="n">
        <x:v>3179</x:v>
      </x:c>
      <x:c r="K21" s="23" t="n">
        <x:v>39878</x:v>
      </x:c>
      <x:c r="L21" s="23" t="n">
        <x:v>43791</x:v>
      </x:c>
      <x:c r="M21" s="23" t="str">
        <x:v>-</x:v>
      </x:c>
      <x:c r="N21" s="23" t="str">
        <x:v>-</x:v>
      </x:c>
      <x:c r="O21" s="23" t="str">
        <x:v>-</x:v>
      </x:c>
      <x:c r="P21" s="23" t="n">
        <x:v>0</x:v>
      </x:c>
      <x:c r="Q21" s="23" t="n">
        <x:v>80</x:v>
      </x:c>
      <x:c r="R21" s="23" t="n">
        <x:v>0</x:v>
      </x:c>
      <x:c r="S21" s="23" t="n">
        <x:v>0</x:v>
      </x:c>
      <x:c r="T21" s="23" t="n">
        <x:v>0</x:v>
      </x:c>
      <x:c r="U21" s="23" t="n">
        <x:v>101</x:v>
      </x:c>
      <x:c r="V21" s="22" t="str">
        <x:v>-</x:v>
      </x:c>
      <x:c r="W21" s="22" t="str">
        <x:v>-</x:v>
      </x:c>
      <x:c r="X21" s="22" t="str">
        <x:v>-</x:v>
      </x:c>
      <x:c r="Y21" s="23" t="n">
        <x:f>IF(COUNT(P21:R21)=0,"-",SUM(P21:R21))</x:f>
        <x:v>80</x:v>
      </x:c>
      <x:c r="Z21" s="23" t="n">
        <x:f>IF(COUNT(S21:U21)=0,"-",SUM(S21:U21))</x:f>
        <x:v>101</x:v>
      </x:c>
      <x:c r="AA21" s="24" t="n">
        <x:f>IF(AND(ISNUMBER(Y21),Y21&gt;0),((Y21-N(Z21))/Y21)*100,"-")</x:f>
        <x:v>-26.25</x:v>
      </x:c>
      <x:c r="AB21" s="22" t="str">
        <x:v>БФО найдена; полнота данных 6/9.</x:v>
      </x:c>
    </x:row>
    <x:row r="22">
      <x:c r="A22" s="22" t="n">
        <x:v>222</x:v>
      </x:c>
      <x:c r="B22" s="22" t="str">
        <x:v>Вкусно — и точка</x:v>
      </x:c>
      <x:c r="C22" s="22" t="str">
        <x:v>Алма-Атинская ул. 2/21</x:v>
      </x:c>
      <x:c r="D22" s="22" t="n">
        <x:v>600</x:v>
      </x:c>
      <x:c r="E22" s="22" t="n">
        <x:v>4.5</x:v>
      </x:c>
      <x:c r="F22" s="22" t="str">
        <x:v>ООО "СИСТЕМА ПБО"</x:v>
      </x:c>
      <x:c r="G22" s="22" t="str">
        <x:v>7710044140</x:v>
      </x:c>
      <x:c r="H22" s="22" t="str">
        <x:v>высокая</x:v>
      </x:c>
      <x:c r="I22" s="22" t="str">
        <x:v>оператор сети Вкусно — и точка</x:v>
      </x:c>
      <x:c r="J22" s="23" t="n">
        <x:v>155745210</x:v>
      </x:c>
      <x:c r="K22" s="23" t="n">
        <x:v>187357965</x:v>
      </x:c>
      <x:c r="L22" s="23" t="n">
        <x:v>218572895</x:v>
      </x:c>
      <x:c r="M22" s="23" t="n">
        <x:v>27475435</x:v>
      </x:c>
      <x:c r="N22" s="23" t="n">
        <x:v>35440526</x:v>
      </x:c>
      <x:c r="O22" s="23" t="n">
        <x:v>37855764</x:v>
      </x:c>
      <x:c r="P22" s="23" t="n">
        <x:v>14174325</x:v>
      </x:c>
      <x:c r="Q22" s="23" t="n">
        <x:v>16959735</x:v>
      </x:c>
      <x:c r="R22" s="23" t="n">
        <x:v>14405355</x:v>
      </x:c>
      <x:c r="S22" s="23" t="n">
        <x:v>0</x:v>
      </x:c>
      <x:c r="T22" s="23" t="n">
        <x:v>0</x:v>
      </x:c>
      <x:c r="U22" s="23" t="n">
        <x:v>0</x:v>
      </x:c>
      <x:c r="V22" s="22" t="str">
        <x:v>-</x:v>
      </x:c>
      <x:c r="W22" s="22" t="str">
        <x:v>-</x:v>
      </x:c>
      <x:c r="X22" s="22" t="str">
        <x:v>-</x:v>
      </x:c>
      <x:c r="Y22" s="23" t="n">
        <x:f>IF(COUNT(P22:R22)=0,"-",SUM(P22:R22))</x:f>
        <x:v>45539415</x:v>
      </x:c>
      <x:c r="Z22" s="23" t="n">
        <x:f>IF(COUNT(S22:U22)=0,"-",SUM(S22:U22))</x:f>
        <x:v>0</x:v>
      </x:c>
      <x:c r="AA22" s="24" t="n">
        <x:f>IF(AND(ISNUMBER(Y22),Y22&gt;0),((Y22-N(Z22))/Y22)*100,"-")</x:f>
        <x:v>100</x:v>
      </x:c>
      <x:c r="AB22" s="22" t="str">
        <x:v>БФО найдена; полнота данных 9/9.</x:v>
      </x:c>
    </x:row>
    <x:row r="23">
      <x:c r="A23" s="22" t="n">
        <x:v>223</x:v>
      </x:c>
      <x:c r="B23" s="22" t="str">
        <x:v>Rostic's</x:v>
      </x:c>
      <x:c r="C23" s="22" t="str">
        <x:v>просп. Чекистов 17Э микрорайон Юбилейный</x:v>
      </x:c>
      <x:c r="D23" s="22" t="n">
        <x:v>743</x:v>
      </x:c>
      <x:c r="E23" s="22" t="n">
        <x:v>4.4</x:v>
      </x:c>
      <x:c r="F23" s="22" t="str">
        <x:v>ООО "ЮНИРЕСТ"</x:v>
      </x:c>
      <x:c r="G23" s="22" t="str">
        <x:v>7722561551</x:v>
      </x:c>
      <x:c r="H23" s="22" t="str">
        <x:v>средняя</x:v>
      </x:c>
      <x:c r="I23" s="22" t="str">
        <x:v>оператор сети Rostic’s</x:v>
      </x:c>
      <x:c r="J23" s="23" t="n">
        <x:v>20168953</x:v>
      </x:c>
      <x:c r="K23" s="23" t="n">
        <x:v>25930672</x:v>
      </x:c>
      <x:c r="L23" s="23" t="n">
        <x:v>30813210</x:v>
      </x:c>
      <x:c r="M23" s="23" t="n">
        <x:v>14955521</x:v>
      </x:c>
      <x:c r="N23" s="23" t="n">
        <x:v>20142693</x:v>
      </x:c>
      <x:c r="O23" s="23" t="n">
        <x:v>24240245</x:v>
      </x:c>
      <x:c r="P23" s="23" t="n">
        <x:v>3539841</x:v>
      </x:c>
      <x:c r="Q23" s="23" t="n">
        <x:v>5678938</x:v>
      </x:c>
      <x:c r="R23" s="23" t="n">
        <x:v>4115411</x:v>
      </x:c>
      <x:c r="S23" s="23" t="n">
        <x:v>0</x:v>
      </x:c>
      <x:c r="T23" s="23" t="n">
        <x:v>0</x:v>
      </x:c>
      <x:c r="U23" s="23" t="n">
        <x:v>0</x:v>
      </x:c>
      <x:c r="V23" s="22" t="str">
        <x:v>-</x:v>
      </x:c>
      <x:c r="W23" s="22" t="str">
        <x:v>-</x:v>
      </x:c>
      <x:c r="X23" s="22" t="str">
        <x:v>-</x:v>
      </x:c>
      <x:c r="Y23" s="23" t="n">
        <x:f>IF(COUNT(P23:R23)=0,"-",SUM(P23:R23))</x:f>
        <x:v>13334190</x:v>
      </x:c>
      <x:c r="Z23" s="23" t="n">
        <x:f>IF(COUNT(S23:U23)=0,"-",SUM(S23:U23))</x:f>
        <x:v>0</x:v>
      </x:c>
      <x:c r="AA23" s="24" t="n">
        <x:f>IF(AND(ISNUMBER(Y23),Y23&gt;0),((Y23-N(Z23))/Y23)*100,"-")</x:f>
        <x:v>100</x:v>
      </x:c>
      <x:c r="AB23" s="22" t="str">
        <x:v>БФО найдена; полнота данных 9/9.</x:v>
      </x:c>
    </x:row>
    <x:row r="24">
      <x:c r="A24" s="22" t="n">
        <x:v>224</x:v>
      </x:c>
      <x:c r="B24" s="22" t="str">
        <x:v>Rostic's</x:v>
      </x:c>
      <x:c r="C24" s="22" t="str">
        <x:v>Алма-Атинская ул. 139</x:v>
      </x:c>
      <x:c r="D24" s="22" t="n">
        <x:v>576</x:v>
      </x:c>
      <x:c r="E24" s="22" t="n">
        <x:v>4.4</x:v>
      </x:c>
      <x:c r="F24" s="22" t="str">
        <x:v>ООО "ЮНИРЕСТ"</x:v>
      </x:c>
      <x:c r="G24" s="22" t="str">
        <x:v>7722561551</x:v>
      </x:c>
      <x:c r="H24" s="22" t="str">
        <x:v>средняя</x:v>
      </x:c>
      <x:c r="I24" s="22" t="str">
        <x:v>оператор сети Rostic’s</x:v>
      </x:c>
      <x:c r="J24" s="23" t="n">
        <x:v>20168953</x:v>
      </x:c>
      <x:c r="K24" s="23" t="n">
        <x:v>25930672</x:v>
      </x:c>
      <x:c r="L24" s="23" t="n">
        <x:v>30813210</x:v>
      </x:c>
      <x:c r="M24" s="23" t="n">
        <x:v>14955521</x:v>
      </x:c>
      <x:c r="N24" s="23" t="n">
        <x:v>20142693</x:v>
      </x:c>
      <x:c r="O24" s="23" t="n">
        <x:v>24240245</x:v>
      </x:c>
      <x:c r="P24" s="23" t="n">
        <x:v>3539841</x:v>
      </x:c>
      <x:c r="Q24" s="23" t="n">
        <x:v>5678938</x:v>
      </x:c>
      <x:c r="R24" s="23" t="n">
        <x:v>4115411</x:v>
      </x:c>
      <x:c r="S24" s="23" t="n">
        <x:v>0</x:v>
      </x:c>
      <x:c r="T24" s="23" t="n">
        <x:v>0</x:v>
      </x:c>
      <x:c r="U24" s="23" t="n">
        <x:v>0</x:v>
      </x:c>
      <x:c r="V24" s="22" t="str">
        <x:v>-</x:v>
      </x:c>
      <x:c r="W24" s="22" t="str">
        <x:v>-</x:v>
      </x:c>
      <x:c r="X24" s="22" t="str">
        <x:v>-</x:v>
      </x:c>
      <x:c r="Y24" s="23" t="n">
        <x:f>IF(COUNT(P24:R24)=0,"-",SUM(P24:R24))</x:f>
        <x:v>13334190</x:v>
      </x:c>
      <x:c r="Z24" s="23" t="n">
        <x:f>IF(COUNT(S24:U24)=0,"-",SUM(S24:U24))</x:f>
        <x:v>0</x:v>
      </x:c>
      <x:c r="AA24" s="24" t="n">
        <x:f>IF(AND(ISNUMBER(Y24),Y24&gt;0),((Y24-N(Z24))/Y24)*100,"-")</x:f>
        <x:v>100</x:v>
      </x:c>
      <x:c r="AB24" s="22" t="str">
        <x:v>БФО найдена; полнота данных 9/9.</x:v>
      </x:c>
    </x:row>
    <x:row r="25">
      <x:c r="A25" s="22" t="n">
        <x:v>225</x:v>
      </x:c>
      <x:c r="B25" s="22" t="str">
        <x:v>SBW х Subway</x:v>
      </x:c>
      <x:c r="C25" s="22" t="str">
        <x:v>Северная ул. 3</x:v>
      </x:c>
      <x:c r="D25" s="22" t="n">
        <x:v>89</x:v>
      </x:c>
      <x:c r="E25" s="22" t="n">
        <x:v>4.2</x:v>
      </x:c>
      <x:c r="F25" s="22" t="str">
        <x:v>ООО "ССК"</x:v>
      </x:c>
      <x:c r="G25" s="22" t="str">
        <x:v>7810476672</x:v>
      </x:c>
      <x:c r="H25" s="22" t="str">
        <x:v>низкая</x:v>
      </x:c>
      <x:c r="I25" s="22" t="str">
        <x:v>оператор Subway/Subjoy; карточка ФНС проверяется по ИНН</x:v>
      </x:c>
      <x:c r="J25" s="23" t="n">
        <x:v>75067</x:v>
      </x:c>
      <x:c r="K25" s="23" t="n">
        <x:v>156359</x:v>
      </x:c>
      <x:c r="L25" s="23" t="n">
        <x:v>117703</x:v>
      </x:c>
      <x:c r="M25" s="23" t="str">
        <x:v>-</x:v>
      </x:c>
      <x:c r="N25" s="23" t="str">
        <x:v>-</x:v>
      </x:c>
      <x:c r="O25" s="23" t="str">
        <x:v>-</x:v>
      </x:c>
      <x:c r="P25" s="23" t="n">
        <x:v>0</x:v>
      </x:c>
      <x:c r="Q25" s="23" t="n">
        <x:v>49593</x:v>
      </x:c>
      <x:c r="R25" s="23" t="n">
        <x:v>19567</x:v>
      </x:c>
      <x:c r="S25" s="23" t="n">
        <x:v>13678</x:v>
      </x:c>
      <x:c r="T25" s="23" t="n">
        <x:v>0</x:v>
      </x:c>
      <x:c r="U25" s="23" t="n">
        <x:v>0</x:v>
      </x:c>
      <x:c r="V25" s="22" t="str">
        <x:v>-</x:v>
      </x:c>
      <x:c r="W25" s="22" t="str">
        <x:v>-</x:v>
      </x:c>
      <x:c r="X25" s="22" t="str">
        <x:v>-</x:v>
      </x:c>
      <x:c r="Y25" s="23" t="n">
        <x:f>IF(COUNT(P25:R25)=0,"-",SUM(P25:R25))</x:f>
        <x:v>69160</x:v>
      </x:c>
      <x:c r="Z25" s="23" t="n">
        <x:f>IF(COUNT(S25:U25)=0,"-",SUM(S25:U25))</x:f>
        <x:v>13678</x:v>
      </x:c>
      <x:c r="AA25" s="24" t="n">
        <x:f>IF(AND(ISNUMBER(Y25),Y25&gt;0),((Y25-N(Z25))/Y25)*100,"-")</x:f>
        <x:v>80.22267206477733</x:v>
      </x:c>
      <x:c r="AB25" s="22" t="str">
        <x:v>БФО найдена; полнота данных 6/9.</x:v>
      </x:c>
    </x:row>
    <x:row r="26">
      <x:c r="A26" s="22" t="n">
        <x:v>229</x:v>
      </x:c>
      <x:c r="B26" s="22" t="str">
        <x:v>Сели Поели</x:v>
      </x:c>
      <x:c r="C26" s="22" t="str">
        <x:v>Алма-Атинская ул. 91</x:v>
      </x:c>
      <x:c r="D26" s="22" t="n">
        <x:v>52</x:v>
      </x:c>
      <x:c r="E26" s="22" t="n">
        <x:v>4.2</x:v>
      </x:c>
      <x:c r="F26" s="22" t="str">
        <x:v>ООО "СЕЛИ-ПОЕЛИ"</x:v>
      </x:c>
      <x:c r="G26" s="22" t="str">
        <x:v>4345454394</x:v>
      </x:c>
      <x:c r="H26" s="22" t="str">
        <x:v>средняя</x:v>
      </x:c>
      <x:c r="I26" s="22" t="str">
        <x:v>автоподбор ФНС по названию; проверены ОКВЭД 56 и наличие БФО</x:v>
      </x:c>
      <x:c r="J26" s="23" t="n">
        <x:v>54433</x:v>
      </x:c>
      <x:c r="K26" s="23" t="n">
        <x:v>59684</x:v>
      </x:c>
      <x:c r="L26" s="23" t="n">
        <x:v>139479</x:v>
      </x:c>
      <x:c r="M26" s="23" t="str">
        <x:v>-</x:v>
      </x:c>
      <x:c r="N26" s="23" t="str">
        <x:v>-</x:v>
      </x:c>
      <x:c r="O26" s="23" t="str">
        <x:v>-</x:v>
      </x:c>
      <x:c r="P26" s="23" t="n">
        <x:v>8244</x:v>
      </x:c>
      <x:c r="Q26" s="23" t="n">
        <x:v>5849</x:v>
      </x:c>
      <x:c r="R26" s="23" t="n">
        <x:v>27442</x:v>
      </x:c>
      <x:c r="S26" s="23" t="n">
        <x:v>0</x:v>
      </x:c>
      <x:c r="T26" s="23" t="n">
        <x:v>0</x:v>
      </x:c>
      <x:c r="U26" s="23" t="n">
        <x:v>0</x:v>
      </x:c>
      <x:c r="V26" s="22" t="str">
        <x:v>-</x:v>
      </x:c>
      <x:c r="W26" s="22" t="str">
        <x:v>-</x:v>
      </x:c>
      <x:c r="X26" s="22" t="str">
        <x:v>-</x:v>
      </x:c>
      <x:c r="Y26" s="23" t="n">
        <x:f>IF(COUNT(P26:R26)=0,"-",SUM(P26:R26))</x:f>
        <x:v>41535</x:v>
      </x:c>
      <x:c r="Z26" s="23" t="n">
        <x:f>IF(COUNT(S26:U26)=0,"-",SUM(S26:U26))</x:f>
        <x:v>0</x:v>
      </x:c>
      <x:c r="AA26" s="24" t="n">
        <x:f>IF(AND(ISNUMBER(Y26),Y26&gt;0),((Y26-N(Z26))/Y26)*100,"-")</x:f>
        <x:v>100</x:v>
      </x:c>
      <x:c r="AB26" s="22" t="str">
        <x:v>БФО найдена; полнота данных 6/9.</x:v>
      </x:c>
    </x:row>
    <x:row r="27">
      <x:c r="A27" s="22" t="n">
        <x:v>232</x:v>
      </x:c>
      <x:c r="B27" s="22" t="str">
        <x:v>Базар</x:v>
      </x:c>
      <x:c r="C27" s="22" t="str">
        <x:v>ул. 70-летия Октября 14/1 микрорайон Юбилейный</x:v>
      </x:c>
      <x:c r="D27" s="22" t="n">
        <x:v>370</x:v>
      </x:c>
      <x:c r="E27" s="22" t="n">
        <x:v>4.4</x:v>
      </x:c>
      <x:c r="F27" s="22" t="str">
        <x:v>ООО "БАЗАР"</x:v>
      </x:c>
      <x:c r="G27" s="22" t="str">
        <x:v>1657241710</x:v>
      </x:c>
      <x:c r="H27" s="22" t="str">
        <x:v>средняя</x:v>
      </x:c>
      <x:c r="I27" s="22" t="str">
        <x:v>автоподбор ФНС по названию; проверены ОКВЭД 56 и наличие БФО</x:v>
      </x:c>
      <x:c r="J27" s="23" t="n">
        <x:v>6863</x:v>
      </x:c>
      <x:c r="K27" s="23" t="n">
        <x:v>0</x:v>
      </x:c>
      <x:c r="L27" s="23" t="str">
        <x:v>-</x:v>
      </x:c>
      <x:c r="M27" s="23" t="n">
        <x:v>3504</x:v>
      </x:c>
      <x:c r="N27" s="23" t="n">
        <x:v>0</x:v>
      </x:c>
      <x:c r="O27" s="23" t="str">
        <x:v>-</x:v>
      </x:c>
      <x:c r="P27" s="23" t="n">
        <x:v>1680</x:v>
      </x:c>
      <x:c r="Q27" s="23" t="n">
        <x:v>0</x:v>
      </x:c>
      <x:c r="R27" s="23" t="n">
        <x:v>0</x:v>
      </x:c>
      <x:c r="S27" s="23" t="n">
        <x:v>0</x:v>
      </x:c>
      <x:c r="T27" s="23" t="n">
        <x:v>1258</x:v>
      </x:c>
      <x:c r="U27" s="23" t="n">
        <x:v>406</x:v>
      </x:c>
      <x:c r="V27" s="22" t="str">
        <x:v>-</x:v>
      </x:c>
      <x:c r="W27" s="22" t="str">
        <x:v>-</x:v>
      </x:c>
      <x:c r="X27" s="22" t="str">
        <x:v>-</x:v>
      </x:c>
      <x:c r="Y27" s="23" t="n">
        <x:f>IF(COUNT(P27:R27)=0,"-",SUM(P27:R27))</x:f>
        <x:v>1680</x:v>
      </x:c>
      <x:c r="Z27" s="23" t="n">
        <x:f>IF(COUNT(S27:U27)=0,"-",SUM(S27:U27))</x:f>
        <x:v>1664</x:v>
      </x:c>
      <x:c r="AA27" s="24" t="n">
        <x:f>IF(AND(ISNUMBER(Y27),Y27&gt;0),((Y27-N(Z27))/Y27)*100,"-")</x:f>
        <x:v>0.9523809523809524</x:v>
      </x:c>
      <x:c r="AB27" s="22" t="str">
        <x:v>БФО найдена; полнота данных 7/9.</x:v>
      </x:c>
    </x:row>
    <x:row r="28">
      <x:c r="A28" s="22" t="n">
        <x:v>233</x:v>
      </x:c>
      <x:c r="B28" s="22" t="str">
        <x:v>Rostic's</x:v>
      </x:c>
      <x:c r="C28" s="22" t="str">
        <x:v>Минская ул. 120/8 Краснодар</x:v>
      </x:c>
      <x:c r="D28" s="22" t="n">
        <x:v>251</x:v>
      </x:c>
      <x:c r="E28" s="22" t="n">
        <x:v>4.3</x:v>
      </x:c>
      <x:c r="F28" s="22" t="str">
        <x:v>ООО "ЮНИРЕСТ"</x:v>
      </x:c>
      <x:c r="G28" s="22" t="str">
        <x:v>7722561551</x:v>
      </x:c>
      <x:c r="H28" s="22" t="str">
        <x:v>средняя</x:v>
      </x:c>
      <x:c r="I28" s="22" t="str">
        <x:v>оператор сети Rostic’s</x:v>
      </x:c>
      <x:c r="J28" s="23" t="n">
        <x:v>20168953</x:v>
      </x:c>
      <x:c r="K28" s="23" t="n">
        <x:v>25930672</x:v>
      </x:c>
      <x:c r="L28" s="23" t="n">
        <x:v>30813210</x:v>
      </x:c>
      <x:c r="M28" s="23" t="n">
        <x:v>14955521</x:v>
      </x:c>
      <x:c r="N28" s="23" t="n">
        <x:v>20142693</x:v>
      </x:c>
      <x:c r="O28" s="23" t="n">
        <x:v>24240245</x:v>
      </x:c>
      <x:c r="P28" s="23" t="n">
        <x:v>3539841</x:v>
      </x:c>
      <x:c r="Q28" s="23" t="n">
        <x:v>5678938</x:v>
      </x:c>
      <x:c r="R28" s="23" t="n">
        <x:v>4115411</x:v>
      </x:c>
      <x:c r="S28" s="23" t="n">
        <x:v>0</x:v>
      </x:c>
      <x:c r="T28" s="23" t="n">
        <x:v>0</x:v>
      </x:c>
      <x:c r="U28" s="23" t="n">
        <x:v>0</x:v>
      </x:c>
      <x:c r="V28" s="22" t="str">
        <x:v>-</x:v>
      </x:c>
      <x:c r="W28" s="22" t="str">
        <x:v>-</x:v>
      </x:c>
      <x:c r="X28" s="22" t="str">
        <x:v>-</x:v>
      </x:c>
      <x:c r="Y28" s="23" t="n">
        <x:f>IF(COUNT(P28:R28)=0,"-",SUM(P28:R28))</x:f>
        <x:v>13334190</x:v>
      </x:c>
      <x:c r="Z28" s="23" t="n">
        <x:f>IF(COUNT(S28:U28)=0,"-",SUM(S28:U28))</x:f>
        <x:v>0</x:v>
      </x:c>
      <x:c r="AA28" s="24" t="n">
        <x:f>IF(AND(ISNUMBER(Y28),Y28&gt;0),((Y28-N(Z28))/Y28)*100,"-")</x:f>
        <x:v>100</x:v>
      </x:c>
      <x:c r="AB28" s="22" t="str">
        <x:v>БФО найдена; полнота данных 9/9.</x:v>
      </x:c>
    </x:row>
    <x:row r="29">
      <x:c r="A29" s="22" t="n">
        <x:v>234</x:v>
      </x:c>
      <x:c r="B29" s="22" t="str">
        <x:v>Папа Джонс</x:v>
      </x:c>
      <x:c r="C29" s="22" t="str">
        <x:v>ул. Уральская 98/11 Краснодар Краснодарский край 350075</x:v>
      </x:c>
      <x:c r="D29" s="22" t="n">
        <x:v>590</x:v>
      </x:c>
      <x:c r="E29" s="22" t="n">
        <x:v>4.7</x:v>
      </x:c>
      <x:c r="F29" s="22" t="str">
        <x:v>ООО "ПИ ДЖЕЙ РЕСТОРАНТС"</x:v>
      </x:c>
      <x:c r="G29" s="22" t="str">
        <x:v>7724701466</x:v>
      </x:c>
      <x:c r="H29" s="22" t="str">
        <x:v>средняя</x:v>
      </x:c>
      <x:c r="I29" s="22" t="str">
        <x:v>оператор/франчайзер Papa Johns; карточка ФНС проверяется по ИНН; карточка ФНС не найдена</x:v>
      </x:c>
      <x:c r="J29" s="23" t="str">
        <x:v>-</x:v>
      </x:c>
      <x:c r="K29" s="23" t="str">
        <x:v>-</x:v>
      </x:c>
      <x:c r="L29" s="23" t="str">
        <x:v>-</x:v>
      </x:c>
      <x:c r="M29" s="23" t="str">
        <x:v>-</x:v>
      </x:c>
      <x:c r="N29" s="23" t="str">
        <x:v>-</x:v>
      </x:c>
      <x:c r="O29" s="23" t="str">
        <x:v>-</x:v>
      </x:c>
      <x:c r="P29" s="23" t="str">
        <x:v>-</x:v>
      </x:c>
      <x:c r="Q29" s="23" t="str">
        <x:v>-</x:v>
      </x:c>
      <x:c r="R29" s="23" t="str">
        <x:v>-</x:v>
      </x:c>
      <x:c r="S29" s="23" t="str">
        <x:v>-</x:v>
      </x:c>
      <x:c r="T29" s="23" t="str">
        <x:v>-</x:v>
      </x:c>
      <x:c r="U29" s="23" t="str">
        <x:v>-</x:v>
      </x:c>
      <x:c r="V29" s="22" t="str">
        <x:v>-</x:v>
      </x:c>
      <x:c r="W29" s="22" t="str">
        <x:v>-</x:v>
      </x:c>
      <x:c r="X29" s="22" t="str">
        <x:v>-</x:v>
      </x:c>
      <x:c r="Y29" s="23" t="str">
        <x:f>IF(COUNT(P29:R29)=0,"-",SUM(P29:R29))</x:f>
        <x:v>-</x:v>
      </x:c>
      <x:c r="Z29" s="23" t="str">
        <x:f>IF(COUNT(S29:U29)=0,"-",SUM(S29:U29))</x:f>
        <x:v>-</x:v>
      </x:c>
      <x:c r="AA29" s="24" t="str">
        <x:f>IF(AND(ISNUMBER(Y29),Y29&gt;0),((Y29-N(Z29))/Y29)*100,"-")</x:f>
        <x:v>-</x:v>
      </x:c>
      <x:c r="AB29" s="22" t="str">
        <x:v>Резервная строка: показатели не подставлялись, в ФНС БФО не найдено достаточно данных для расчета эффективности.</x:v>
      </x:c>
    </x:row>
    <x:row r="30">
      <x:c r="A30" s="22" t="n">
        <x:v>235</x:v>
      </x:c>
      <x:c r="B30" s="22" t="str">
        <x:v>Subway</x:v>
      </x:c>
      <x:c r="C30" s="22" t="str">
        <x:v>ул. Уральская 98/11 Краснодар Краснодарский край 350075</x:v>
      </x:c>
      <x:c r="D30" s="22" t="n">
        <x:v>82</x:v>
      </x:c>
      <x:c r="E30" s="22" t="n">
        <x:v>4.7</x:v>
      </x:c>
      <x:c r="F30" s="22" t="str">
        <x:v>ООО "ССК"</x:v>
      </x:c>
      <x:c r="G30" s="22" t="str">
        <x:v>7810476672</x:v>
      </x:c>
      <x:c r="H30" s="22" t="str">
        <x:v>низкая</x:v>
      </x:c>
      <x:c r="I30" s="22" t="str">
        <x:v>оператор Subway/Subjoy; карточка ФНС проверяется по ИНН</x:v>
      </x:c>
      <x:c r="J30" s="23" t="n">
        <x:v>75067</x:v>
      </x:c>
      <x:c r="K30" s="23" t="n">
        <x:v>156359</x:v>
      </x:c>
      <x:c r="L30" s="23" t="n">
        <x:v>117703</x:v>
      </x:c>
      <x:c r="M30" s="23" t="str">
        <x:v>-</x:v>
      </x:c>
      <x:c r="N30" s="23" t="str">
        <x:v>-</x:v>
      </x:c>
      <x:c r="O30" s="23" t="str">
        <x:v>-</x:v>
      </x:c>
      <x:c r="P30" s="23" t="n">
        <x:v>0</x:v>
      </x:c>
      <x:c r="Q30" s="23" t="n">
        <x:v>49593</x:v>
      </x:c>
      <x:c r="R30" s="23" t="n">
        <x:v>19567</x:v>
      </x:c>
      <x:c r="S30" s="23" t="n">
        <x:v>13678</x:v>
      </x:c>
      <x:c r="T30" s="23" t="n">
        <x:v>0</x:v>
      </x:c>
      <x:c r="U30" s="23" t="n">
        <x:v>0</x:v>
      </x:c>
      <x:c r="V30" s="22" t="str">
        <x:v>-</x:v>
      </x:c>
      <x:c r="W30" s="22" t="str">
        <x:v>-</x:v>
      </x:c>
      <x:c r="X30" s="22" t="str">
        <x:v>-</x:v>
      </x:c>
      <x:c r="Y30" s="23" t="n">
        <x:f>IF(COUNT(P30:R30)=0,"-",SUM(P30:R30))</x:f>
        <x:v>69160</x:v>
      </x:c>
      <x:c r="Z30" s="23" t="n">
        <x:f>IF(COUNT(S30:U30)=0,"-",SUM(S30:U30))</x:f>
        <x:v>13678</x:v>
      </x:c>
      <x:c r="AA30" s="24" t="n">
        <x:f>IF(AND(ISNUMBER(Y30),Y30&gt;0),((Y30-N(Z30))/Y30)*100,"-")</x:f>
        <x:v>80.22267206477733</x:v>
      </x:c>
      <x:c r="AB30" s="22" t="str">
        <x:v>БФО найдена; полнота данных 6/9.</x:v>
      </x:c>
    </x:row>
    <x:row r="31">
      <x:c r="A31" s="22" t="n">
        <x:v>236</x:v>
      </x:c>
      <x:c r="B31" s="22" t="str">
        <x:v>Бургер Кинг</x:v>
      </x:c>
      <x:c r="C31" s="22" t="str">
        <x:v>ул. Уральская 79/1 Краснодар Краснодарский край 350059</x:v>
      </x:c>
      <x:c r="D31" s="22" t="n">
        <x:v>237</x:v>
      </x:c>
      <x:c r="E31" s="22" t="n">
        <x:v>4.6</x:v>
      </x:c>
      <x:c r="F31" s="22" t="str">
        <x:v>ООО "БУРГЕР РУС"</x:v>
      </x:c>
      <x:c r="G31" s="22" t="str">
        <x:v>7719723690</x:v>
      </x:c>
      <x:c r="H31" s="22" t="str">
        <x:v>средняя</x:v>
      </x:c>
      <x:c r="I31" s="22" t="str">
        <x:v>оператор сети Burger King</x:v>
      </x:c>
      <x:c r="J31" s="23" t="n">
        <x:v>74455646</x:v>
      </x:c>
      <x:c r="K31" s="23" t="n">
        <x:v>90264478</x:v>
      </x:c>
      <x:c r="L31" s="23" t="n">
        <x:v>103954806</x:v>
      </x:c>
      <x:c r="M31" s="23" t="n">
        <x:v>15131005</x:v>
      </x:c>
      <x:c r="N31" s="23" t="n">
        <x:v>17291096</x:v>
      </x:c>
      <x:c r="O31" s="23" t="n">
        <x:v>17849571</x:v>
      </x:c>
      <x:c r="P31" s="23" t="n">
        <x:v>1799543</x:v>
      </x:c>
      <x:c r="Q31" s="23" t="n">
        <x:v>1634622</x:v>
      </x:c>
      <x:c r="R31" s="23" t="n">
        <x:v>637589</x:v>
      </x:c>
      <x:c r="S31" s="23" t="n">
        <x:v>0</x:v>
      </x:c>
      <x:c r="T31" s="23" t="n">
        <x:v>0</x:v>
      </x:c>
      <x:c r="U31" s="23" t="n">
        <x:v>0</x:v>
      </x:c>
      <x:c r="V31" s="22" t="str">
        <x:v>-</x:v>
      </x:c>
      <x:c r="W31" s="22" t="str">
        <x:v>-</x:v>
      </x:c>
      <x:c r="X31" s="22" t="str">
        <x:v>-</x:v>
      </x:c>
      <x:c r="Y31" s="23" t="n">
        <x:f>IF(COUNT(P31:R31)=0,"-",SUM(P31:R31))</x:f>
        <x:v>4071754</x:v>
      </x:c>
      <x:c r="Z31" s="23" t="n">
        <x:f>IF(COUNT(S31:U31)=0,"-",SUM(S31:U31))</x:f>
        <x:v>0</x:v>
      </x:c>
      <x:c r="AA31" s="24" t="n">
        <x:f>IF(AND(ISNUMBER(Y31),Y31&gt;0),((Y31-N(Z31))/Y31)*100,"-")</x:f>
        <x:v>100</x:v>
      </x:c>
      <x:c r="AB31" s="22" t="str">
        <x:v>БФО найдена; полнота данных 9/9.</x:v>
      </x:c>
    </x:row>
    <x:row r="32">
      <x:c r="A32" s="22" t="n">
        <x:v>238</x:v>
      </x:c>
      <x:c r="B32" s="22" t="str">
        <x:v>Старик Хинкалыч</x:v>
      </x:c>
      <x:c r="C32" s="22" t="str">
        <x:v>ул. Уральская 79/1 Краснодар Краснодарский край 350059</x:v>
      </x:c>
      <x:c r="D32" s="22" t="n">
        <x:v>1448</x:v>
      </x:c>
      <x:c r="E32" s="22" t="n">
        <x:v>5</x:v>
      </x:c>
      <x:c r="F32" s="22" t="str">
        <x:v>ООО "СТАРИК ХИНКАЛЫЧ"</x:v>
      </x:c>
      <x:c r="G32" s="22" t="str">
        <x:v>9201517469</x:v>
      </x:c>
      <x:c r="H32" s="22" t="str">
        <x:v>низкая</x:v>
      </x:c>
      <x:c r="I32" s="22" t="str">
        <x:v>точное название бренда в ФНС БФО; не конкретная точка</x:v>
      </x:c>
      <x:c r="J32" s="23" t="n">
        <x:v>7659</x:v>
      </x:c>
      <x:c r="K32" s="23" t="n">
        <x:v>7687</x:v>
      </x:c>
      <x:c r="L32" s="23" t="n">
        <x:v>7566</x:v>
      </x:c>
      <x:c r="M32" s="23" t="str">
        <x:v>-</x:v>
      </x:c>
      <x:c r="N32" s="23" t="str">
        <x:v>-</x:v>
      </x:c>
      <x:c r="O32" s="23" t="str">
        <x:v>-</x:v>
      </x:c>
      <x:c r="P32" s="23" t="n">
        <x:v>632</x:v>
      </x:c>
      <x:c r="Q32" s="23" t="n">
        <x:v>236</x:v>
      </x:c>
      <x:c r="R32" s="23" t="n">
        <x:v>176</x:v>
      </x:c>
      <x:c r="S32" s="23" t="n">
        <x:v>0</x:v>
      </x:c>
      <x:c r="T32" s="23" t="n">
        <x:v>0</x:v>
      </x:c>
      <x:c r="U32" s="23" t="n">
        <x:v>0</x:v>
      </x:c>
      <x:c r="V32" s="22" t="str">
        <x:v>-</x:v>
      </x:c>
      <x:c r="W32" s="22" t="str">
        <x:v>-</x:v>
      </x:c>
      <x:c r="X32" s="22" t="str">
        <x:v>-</x:v>
      </x:c>
      <x:c r="Y32" s="23" t="n">
        <x:f>IF(COUNT(P32:R32)=0,"-",SUM(P32:R32))</x:f>
        <x:v>1044</x:v>
      </x:c>
      <x:c r="Z32" s="23" t="n">
        <x:f>IF(COUNT(S32:U32)=0,"-",SUM(S32:U32))</x:f>
        <x:v>0</x:v>
      </x:c>
      <x:c r="AA32" s="24" t="n">
        <x:f>IF(AND(ISNUMBER(Y32),Y32&gt;0),((Y32-N(Z32))/Y32)*100,"-")</x:f>
        <x:v>100</x:v>
      </x:c>
      <x:c r="AB32" s="22" t="str">
        <x:v>БФО найдена; полнота данных 6/9.</x:v>
      </x:c>
    </x:row>
    <x:row r="33">
      <x:c r="A33" s="22" t="n">
        <x:v>239</x:v>
      </x:c>
      <x:c r="B33" s="22" t="str">
        <x:v>Платформа 9 3/4</x:v>
      </x:c>
      <x:c r="C33" s="22" t="str">
        <x:v>ул. Уральская 79/1 Краснодар Краснодарский край 350059</x:v>
      </x:c>
      <x:c r="D33" s="22" t="n">
        <x:v>814</x:v>
      </x:c>
      <x:c r="E33" s="22" t="n">
        <x:v>4.9</x:v>
      </x:c>
      <x:c r="F33" s="22" t="str">
        <x:v>-</x:v>
      </x:c>
      <x:c r="G33" s="22" t="str">
        <x:v>-</x:v>
      </x:c>
      <x:c r="H33" s="22" t="str">
        <x:v>-</x:v>
      </x:c>
      <x:c r="I33" s="22" t="str">
        <x:v>не найдено надежное сопоставление</x:v>
      </x:c>
      <x:c r="J33" s="23" t="str">
        <x:v>-</x:v>
      </x:c>
      <x:c r="K33" s="23" t="str">
        <x:v>-</x:v>
      </x:c>
      <x:c r="L33" s="23" t="str">
        <x:v>-</x:v>
      </x:c>
      <x:c r="M33" s="23" t="str">
        <x:v>-</x:v>
      </x:c>
      <x:c r="N33" s="23" t="str">
        <x:v>-</x:v>
      </x:c>
      <x:c r="O33" s="23" t="str">
        <x:v>-</x:v>
      </x:c>
      <x:c r="P33" s="23" t="str">
        <x:v>-</x:v>
      </x:c>
      <x:c r="Q33" s="23" t="str">
        <x:v>-</x:v>
      </x:c>
      <x:c r="R33" s="23" t="str">
        <x:v>-</x:v>
      </x:c>
      <x:c r="S33" s="23" t="str">
        <x:v>-</x:v>
      </x:c>
      <x:c r="T33" s="23" t="str">
        <x:v>-</x:v>
      </x:c>
      <x:c r="U33" s="23" t="str">
        <x:v>-</x:v>
      </x:c>
      <x:c r="V33" s="22" t="str">
        <x:v>-</x:v>
      </x:c>
      <x:c r="W33" s="22" t="str">
        <x:v>-</x:v>
      </x:c>
      <x:c r="X33" s="22" t="str">
        <x:v>-</x:v>
      </x:c>
      <x:c r="Y33" s="23" t="str">
        <x:f>IF(COUNT(P33:R33)=0,"-",SUM(P33:R33))</x:f>
        <x:v>-</x:v>
      </x:c>
      <x:c r="Z33" s="23" t="str">
        <x:f>IF(COUNT(S33:U33)=0,"-",SUM(S33:U33))</x:f>
        <x:v>-</x:v>
      </x:c>
      <x:c r="AA33" s="24" t="str">
        <x:f>IF(AND(ISNUMBER(Y33),Y33&gt;0),((Y33-N(Z33))/Y33)*100,"-")</x:f>
        <x:v>-</x:v>
      </x:c>
      <x:c r="AB33" s="22" t="str">
        <x:v>Резервная строка: показатели не подставлялись, в ФНС БФО не найдено достаточно данных для расчета эффективности.</x:v>
      </x:c>
    </x:row>
    <x:row r="34">
      <x:c r="A34" s="22" t="n">
        <x:v>240</x:v>
      </x:c>
      <x:c r="B34" s="22" t="str">
        <x:v>Бумбараш</x:v>
      </x:c>
      <x:c r="C34" s="22" t="str">
        <x:v>ул. Уральская 79/1 Краснодар Краснодарский край 350059</x:v>
      </x:c>
      <x:c r="D34" s="22" t="n">
        <x:v>916</x:v>
      </x:c>
      <x:c r="E34" s="22" t="n">
        <x:v>5</x:v>
      </x:c>
      <x:c r="F34" s="22" t="str">
        <x:v>ООО "БУМБАРАШ БОЛЬШОЙ"</x:v>
      </x:c>
      <x:c r="G34" s="22" t="str">
        <x:v>2308275139</x:v>
      </x:c>
      <x:c r="H34" s="22" t="str">
        <x:v>средняя</x:v>
      </x:c>
      <x:c r="I34" s="22" t="str">
        <x:v>близкое название и регион Краснодарский</x:v>
      </x:c>
      <x:c r="J34" s="23" t="str">
        <x:v>-</x:v>
      </x:c>
      <x:c r="K34" s="23" t="str">
        <x:v>-</x:v>
      </x:c>
      <x:c r="L34" s="23" t="n">
        <x:v>0</x:v>
      </x:c>
      <x:c r="M34" s="23" t="str">
        <x:v>-</x:v>
      </x:c>
      <x:c r="N34" s="23" t="str">
        <x:v>-</x:v>
      </x:c>
      <x:c r="O34" s="23" t="str">
        <x:v>-</x:v>
      </x:c>
      <x:c r="P34" s="23" t="n">
        <x:v>0</x:v>
      </x:c>
      <x:c r="Q34" s="23" t="n">
        <x:v>0</x:v>
      </x:c>
      <x:c r="R34" s="23" t="n">
        <x:v>1453</x:v>
      </x:c>
      <x:c r="S34" s="23" t="n">
        <x:v>1229</x:v>
      </x:c>
      <x:c r="T34" s="23" t="n">
        <x:v>11</x:v>
      </x:c>
      <x:c r="U34" s="23" t="n">
        <x:v>0</x:v>
      </x:c>
      <x:c r="V34" s="22" t="str">
        <x:v>-</x:v>
      </x:c>
      <x:c r="W34" s="22" t="str">
        <x:v>-</x:v>
      </x:c>
      <x:c r="X34" s="22" t="str">
        <x:v>-</x:v>
      </x:c>
      <x:c r="Y34" s="23" t="n">
        <x:f>IF(COUNT(P34:R34)=0,"-",SUM(P34:R34))</x:f>
        <x:v>1453</x:v>
      </x:c>
      <x:c r="Z34" s="23" t="n">
        <x:f>IF(COUNT(S34:U34)=0,"-",SUM(S34:U34))</x:f>
        <x:v>1240</x:v>
      </x:c>
      <x:c r="AA34" s="24" t="n">
        <x:f>IF(AND(ISNUMBER(Y34),Y34&gt;0),((Y34-N(Z34))/Y34)*100,"-")</x:f>
        <x:v>14.659325533379217</x:v>
      </x:c>
      <x:c r="AB34" s="22" t="str">
        <x:v>БФО найдена; полнота данных 4/9.</x:v>
      </x:c>
    </x:row>
    <x:row r="35">
      <x:c r="A35" s="22" t="n">
        <x:v>241</x:v>
      </x:c>
      <x:c r="B35" s="22" t="str">
        <x:v>Диканька</x:v>
      </x:c>
      <x:c r="C35" s="22" t="str">
        <x:v>ул. Уральская 79/1 Краснодар Краснодарский край 350059</x:v>
      </x:c>
      <x:c r="D35" s="22" t="n">
        <x:v>351</x:v>
      </x:c>
      <x:c r="E35" s="22" t="n">
        <x:v>4.9</x:v>
      </x:c>
      <x:c r="F35" s="22" t="str">
        <x:v>ООО "ДИКАНЬКА"</x:v>
      </x:c>
      <x:c r="G35" s="22" t="str">
        <x:v>7456001807</x:v>
      </x:c>
      <x:c r="H35" s="22" t="str">
        <x:v>средняя</x:v>
      </x:c>
      <x:c r="I35" s="22" t="str">
        <x:v>автоподбор ФНС по названию; проверены ОКВЭД 56 и наличие БФО</x:v>
      </x:c>
      <x:c r="J35" s="23" t="n">
        <x:v>126094</x:v>
      </x:c>
      <x:c r="K35" s="23" t="n">
        <x:v>164603</x:v>
      </x:c>
      <x:c r="L35" s="23" t="n">
        <x:v>144505</x:v>
      </x:c>
      <x:c r="M35" s="23" t="str">
        <x:v>-</x:v>
      </x:c>
      <x:c r="N35" s="23" t="str">
        <x:v>-</x:v>
      </x:c>
      <x:c r="O35" s="23" t="str">
        <x:v>-</x:v>
      </x:c>
      <x:c r="P35" s="23" t="n">
        <x:v>2204</x:v>
      </x:c>
      <x:c r="Q35" s="23" t="n">
        <x:v>270</x:v>
      </x:c>
      <x:c r="R35" s="23" t="n">
        <x:v>0</x:v>
      </x:c>
      <x:c r="S35" s="23" t="n">
        <x:v>0</x:v>
      </x:c>
      <x:c r="T35" s="23" t="n">
        <x:v>0</x:v>
      </x:c>
      <x:c r="U35" s="23" t="n">
        <x:v>3220</x:v>
      </x:c>
      <x:c r="V35" s="22" t="str">
        <x:v>-</x:v>
      </x:c>
      <x:c r="W35" s="22" t="str">
        <x:v>-</x:v>
      </x:c>
      <x:c r="X35" s="22" t="str">
        <x:v>-</x:v>
      </x:c>
      <x:c r="Y35" s="23" t="n">
        <x:f>IF(COUNT(P35:R35)=0,"-",SUM(P35:R35))</x:f>
        <x:v>2474</x:v>
      </x:c>
      <x:c r="Z35" s="23" t="n">
        <x:f>IF(COUNT(S35:U35)=0,"-",SUM(S35:U35))</x:f>
        <x:v>3220</x:v>
      </x:c>
      <x:c r="AA35" s="24" t="n">
        <x:f>IF(AND(ISNUMBER(Y35),Y35&gt;0),((Y35-N(Z35))/Y35)*100,"-")</x:f>
        <x:v>-30.1535974130962</x:v>
      </x:c>
      <x:c r="AB35" s="22" t="str">
        <x:v>БФО найдена; полнота данных 6/9.</x:v>
      </x:c>
    </x:row>
    <x:row r="36">
      <x:c r="A36" s="22" t="n">
        <x:v>242</x:v>
      </x:c>
      <x:c r="B36" s="22" t="str">
        <x:v>СушиВесла</x:v>
      </x:c>
      <x:c r="C36" s="22" t="str">
        <x:v>ул. Уральская 79/1 Краснодар Краснодарский край 350059</x:v>
      </x:c>
      <x:c r="D36" s="22" t="n">
        <x:v>211</x:v>
      </x:c>
      <x:c r="E36" s="22" t="n">
        <x:v>4.6</x:v>
      </x:c>
      <x:c r="F36" s="22" t="str">
        <x:v>ООО "УПРАВЛЯЮЩАЯ КОМПАНИЯ "СУШИВЕСЛА"</x:v>
      </x:c>
      <x:c r="G36" s="22" t="str">
        <x:v>3444210862</x:v>
      </x:c>
      <x:c r="H36" s="22" t="str">
        <x:v>средняя</x:v>
      </x:c>
      <x:c r="I36" s="22" t="str">
        <x:v>управляющая компания бренда СушиВесла</x:v>
      </x:c>
      <x:c r="J36" s="23" t="n">
        <x:v>158039</x:v>
      </x:c>
      <x:c r="K36" s="23" t="n">
        <x:v>173572</x:v>
      </x:c>
      <x:c r="L36" s="23" t="n">
        <x:v>166280</x:v>
      </x:c>
      <x:c r="M36" s="23" t="n">
        <x:v>144977</x:v>
      </x:c>
      <x:c r="N36" s="23" t="n">
        <x:v>173572</x:v>
      </x:c>
      <x:c r="O36" s="23" t="n">
        <x:v>166280</x:v>
      </x:c>
      <x:c r="P36" s="23" t="n">
        <x:v>26406</x:v>
      </x:c>
      <x:c r="Q36" s="23" t="n">
        <x:v>16663</x:v>
      </x:c>
      <x:c r="R36" s="23" t="n">
        <x:v>7125</x:v>
      </x:c>
      <x:c r="S36" s="23" t="n">
        <x:v>0</x:v>
      </x:c>
      <x:c r="T36" s="23" t="n">
        <x:v>0</x:v>
      </x:c>
      <x:c r="U36" s="23" t="n">
        <x:v>0</x:v>
      </x:c>
      <x:c r="V36" s="22" t="str">
        <x:v>-</x:v>
      </x:c>
      <x:c r="W36" s="22" t="str">
        <x:v>-</x:v>
      </x:c>
      <x:c r="X36" s="22" t="str">
        <x:v>-</x:v>
      </x:c>
      <x:c r="Y36" s="23" t="n">
        <x:f>IF(COUNT(P36:R36)=0,"-",SUM(P36:R36))</x:f>
        <x:v>50194</x:v>
      </x:c>
      <x:c r="Z36" s="23" t="n">
        <x:f>IF(COUNT(S36:U36)=0,"-",SUM(S36:U36))</x:f>
        <x:v>0</x:v>
      </x:c>
      <x:c r="AA36" s="24" t="n">
        <x:f>IF(AND(ISNUMBER(Y36),Y36&gt;0),((Y36-N(Z36))/Y36)*100,"-")</x:f>
        <x:v>100</x:v>
      </x:c>
      <x:c r="AB36" s="22" t="str">
        <x:v>БФО найдена; полнота данных 9/9.</x:v>
      </x:c>
    </x:row>
    <x:row r="37">
      <x:c r="A37" s="22" t="n">
        <x:v>244</x:v>
      </x:c>
      <x:c r="B37" s="22" t="str">
        <x:v>БумБараш</x:v>
      </x:c>
      <x:c r="C37" s="22" t="str">
        <x:v>ул. Уральская 79/1 Краснодар Краснодарский край 350059</x:v>
      </x:c>
      <x:c r="D37" s="22" t="n">
        <x:v>897</x:v>
      </x:c>
      <x:c r="E37" s="22" t="n">
        <x:v>5</x:v>
      </x:c>
      <x:c r="F37" s="22" t="str">
        <x:v>ООО "БУМБАРАШ БОЛЬШОЙ"</x:v>
      </x:c>
      <x:c r="G37" s="22" t="str">
        <x:v>2308275139</x:v>
      </x:c>
      <x:c r="H37" s="22" t="str">
        <x:v>средняя</x:v>
      </x:c>
      <x:c r="I37" s="22" t="str">
        <x:v>близкое название и регион Краснодарский</x:v>
      </x:c>
      <x:c r="J37" s="23" t="str">
        <x:v>-</x:v>
      </x:c>
      <x:c r="K37" s="23" t="str">
        <x:v>-</x:v>
      </x:c>
      <x:c r="L37" s="23" t="n">
        <x:v>0</x:v>
      </x:c>
      <x:c r="M37" s="23" t="str">
        <x:v>-</x:v>
      </x:c>
      <x:c r="N37" s="23" t="str">
        <x:v>-</x:v>
      </x:c>
      <x:c r="O37" s="23" t="str">
        <x:v>-</x:v>
      </x:c>
      <x:c r="P37" s="23" t="n">
        <x:v>0</x:v>
      </x:c>
      <x:c r="Q37" s="23" t="n">
        <x:v>0</x:v>
      </x:c>
      <x:c r="R37" s="23" t="n">
        <x:v>1453</x:v>
      </x:c>
      <x:c r="S37" s="23" t="n">
        <x:v>1229</x:v>
      </x:c>
      <x:c r="T37" s="23" t="n">
        <x:v>11</x:v>
      </x:c>
      <x:c r="U37" s="23" t="n">
        <x:v>0</x:v>
      </x:c>
      <x:c r="V37" s="22" t="str">
        <x:v>-</x:v>
      </x:c>
      <x:c r="W37" s="22" t="str">
        <x:v>-</x:v>
      </x:c>
      <x:c r="X37" s="22" t="str">
        <x:v>-</x:v>
      </x:c>
      <x:c r="Y37" s="23" t="n">
        <x:f>IF(COUNT(P37:R37)=0,"-",SUM(P37:R37))</x:f>
        <x:v>1453</x:v>
      </x:c>
      <x:c r="Z37" s="23" t="n">
        <x:f>IF(COUNT(S37:U37)=0,"-",SUM(S37:U37))</x:f>
        <x:v>1240</x:v>
      </x:c>
      <x:c r="AA37" s="24" t="n">
        <x:f>IF(AND(ISNUMBER(Y37),Y37&gt;0),((Y37-N(Z37))/Y37)*100,"-")</x:f>
        <x:v>14.659325533379217</x:v>
      </x:c>
      <x:c r="AB37" s="22" t="str">
        <x:v>БФО найдена; полнота данных 4/9.</x:v>
      </x:c>
    </x:row>
    <x:row r="38">
      <x:c r="A38" s="22" t="n">
        <x:v>246</x:v>
      </x:c>
      <x:c r="B38" s="22" t="str">
        <x:v>Чик Чак</x:v>
      </x:c>
      <x:c r="C38" s="22" t="str">
        <x:v>Карасунская улица 77/1 Краснодар</x:v>
      </x:c>
      <x:c r="D38" s="22" t="n">
        <x:v>148</x:v>
      </x:c>
      <x:c r="E38" s="22" t="n">
        <x:v>5</x:v>
      </x:c>
      <x:c r="F38" s="22" t="str">
        <x:v>ООО "ЧАК-ЧАК"</x:v>
      </x:c>
      <x:c r="G38" s="22" t="str">
        <x:v>1655245067</x:v>
      </x:c>
      <x:c r="H38" s="22" t="str">
        <x:v>низкая</x:v>
      </x:c>
      <x:c r="I38" s="22" t="str">
        <x:v>автоподбор ФНС по названию; проверены ОКВЭД 56 и наличие БФО</x:v>
      </x:c>
      <x:c r="J38" s="23" t="n">
        <x:v>107076</x:v>
      </x:c>
      <x:c r="K38" s="23" t="n">
        <x:v>126884</x:v>
      </x:c>
      <x:c r="L38" s="23" t="n">
        <x:v>149153</x:v>
      </x:c>
      <x:c r="M38" s="23" t="str">
        <x:v>-</x:v>
      </x:c>
      <x:c r="N38" s="23" t="str">
        <x:v>-</x:v>
      </x:c>
      <x:c r="O38" s="23" t="str">
        <x:v>-</x:v>
      </x:c>
      <x:c r="P38" s="23" t="n">
        <x:v>333</x:v>
      </x:c>
      <x:c r="Q38" s="23" t="n">
        <x:v>0</x:v>
      </x:c>
      <x:c r="R38" s="23" t="n">
        <x:v>0</x:v>
      </x:c>
      <x:c r="S38" s="23" t="n">
        <x:v>0</x:v>
      </x:c>
      <x:c r="T38" s="23" t="n">
        <x:v>5074</x:v>
      </x:c>
      <x:c r="U38" s="23" t="n">
        <x:v>1659</x:v>
      </x:c>
      <x:c r="V38" s="22" t="str">
        <x:v>-</x:v>
      </x:c>
      <x:c r="W38" s="22" t="str">
        <x:v>-</x:v>
      </x:c>
      <x:c r="X38" s="22" t="str">
        <x:v>-</x:v>
      </x:c>
      <x:c r="Y38" s="23" t="n">
        <x:f>IF(COUNT(P38:R38)=0,"-",SUM(P38:R38))</x:f>
        <x:v>333</x:v>
      </x:c>
      <x:c r="Z38" s="23" t="n">
        <x:f>IF(COUNT(S38:U38)=0,"-",SUM(S38:U38))</x:f>
        <x:v>6733</x:v>
      </x:c>
      <x:c r="AA38" s="24" t="n">
        <x:f>IF(AND(ISNUMBER(Y38),Y38&gt;0),((Y38-N(Z38))/Y38)*100,"-")</x:f>
        <x:v>-1921.921921921922</x:v>
      </x:c>
      <x:c r="AB38" s="22" t="str">
        <x:v>БФО найдена; полнота данных 6/9.</x:v>
      </x:c>
    </x:row>
    <x:row r="39">
      <x:c r="A39" s="22" t="n">
        <x:v>248</x:v>
      </x:c>
      <x:c r="B39" s="22" t="str">
        <x:v>Джентльмены удачи</x:v>
      </x:c>
      <x:c r="C39" s="22" t="str">
        <x:v>Улица Тургенева 139/1 Краснодар</x:v>
      </x:c>
      <x:c r="D39" s="22" t="n">
        <x:v>609</x:v>
      </x:c>
      <x:c r="E39" s="22" t="n">
        <x:v>4.6</x:v>
      </x:c>
      <x:c r="F39" s="22" t="str">
        <x:v>ООО "ДЖЕНТЛЬМЕНЫ УДАЧИ"</x:v>
      </x:c>
      <x:c r="G39" s="22" t="str">
        <x:v>7813647044</x:v>
      </x:c>
      <x:c r="H39" s="22" t="str">
        <x:v>средняя</x:v>
      </x:c>
      <x:c r="I39" s="22" t="str">
        <x:v>автоподбор ФНС по названию; проверены ОКВЭД 56 и наличие БФО</x:v>
      </x:c>
      <x:c r="J39" s="23" t="n">
        <x:v>9993</x:v>
      </x:c>
      <x:c r="K39" s="23" t="n">
        <x:v>9655</x:v>
      </x:c>
      <x:c r="L39" s="23" t="n">
        <x:v>0</x:v>
      </x:c>
      <x:c r="M39" s="23" t="str">
        <x:v>-</x:v>
      </x:c>
      <x:c r="N39" s="23" t="str">
        <x:v>-</x:v>
      </x:c>
      <x:c r="O39" s="23" t="str">
        <x:v>-</x:v>
      </x:c>
      <x:c r="P39" s="23" t="n">
        <x:v>1871</x:v>
      </x:c>
      <x:c r="Q39" s="23" t="n">
        <x:v>0</x:v>
      </x:c>
      <x:c r="R39" s="23" t="n">
        <x:v>0</x:v>
      </x:c>
      <x:c r="S39" s="23" t="n">
        <x:v>0</x:v>
      </x:c>
      <x:c r="T39" s="23" t="n">
        <x:v>30</x:v>
      </x:c>
      <x:c r="U39" s="23" t="n">
        <x:v>1024</x:v>
      </x:c>
      <x:c r="V39" s="22" t="str">
        <x:v>-</x:v>
      </x:c>
      <x:c r="W39" s="22" t="str">
        <x:v>-</x:v>
      </x:c>
      <x:c r="X39" s="22" t="str">
        <x:v>-</x:v>
      </x:c>
      <x:c r="Y39" s="23" t="n">
        <x:f>IF(COUNT(P39:R39)=0,"-",SUM(P39:R39))</x:f>
        <x:v>1871</x:v>
      </x:c>
      <x:c r="Z39" s="23" t="n">
        <x:f>IF(COUNT(S39:U39)=0,"-",SUM(S39:U39))</x:f>
        <x:v>1054</x:v>
      </x:c>
      <x:c r="AA39" s="24" t="n">
        <x:f>IF(AND(ISNUMBER(Y39),Y39&gt;0),((Y39-N(Z39))/Y39)*100,"-")</x:f>
        <x:v>43.666488508818816</x:v>
      </x:c>
      <x:c r="AB39" s="22" t="str">
        <x:v>БФО найдена; полнота данных 6/9.</x:v>
      </x:c>
    </x:row>
    <x:row r="40">
      <x:c r="A40" s="22" t="n">
        <x:v>249</x:v>
      </x:c>
      <x:c r="B40" s="22" t="str">
        <x:v>МЯСО&amp;РЫБА</x:v>
      </x:c>
      <x:c r="C40" s="22" t="str">
        <x:v>Красная улица 120 Краснодар</x:v>
      </x:c>
      <x:c r="D40" s="22" t="n">
        <x:v>654</x:v>
      </x:c>
      <x:c r="E40" s="22" t="n">
        <x:v>4.9</x:v>
      </x:c>
      <x:c r="F40" s="22" t="str">
        <x:v>ООО "МЯСО И РЫБА КАШИРКА"</x:v>
      </x:c>
      <x:c r="G40" s="22" t="str">
        <x:v>7702421877</x:v>
      </x:c>
      <x:c r="H40" s="22" t="str">
        <x:v>низкая</x:v>
      </x:c>
      <x:c r="I40" s="22" t="str">
        <x:v>компания сети МЯСО&amp;РЫБА; не конкретная точка</x:v>
      </x:c>
      <x:c r="J40" s="23" t="n">
        <x:v>230191</x:v>
      </x:c>
      <x:c r="K40" s="23" t="n">
        <x:v>250436</x:v>
      </x:c>
      <x:c r="L40" s="23" t="n">
        <x:v>250089</x:v>
      </x:c>
      <x:c r="M40" s="23" t="str">
        <x:v>-</x:v>
      </x:c>
      <x:c r="N40" s="23" t="str">
        <x:v>-</x:v>
      </x:c>
      <x:c r="O40" s="23" t="str">
        <x:v>-</x:v>
      </x:c>
      <x:c r="P40" s="23" t="n">
        <x:v>20823</x:v>
      </x:c>
      <x:c r="Q40" s="23" t="n">
        <x:v>9998</x:v>
      </x:c>
      <x:c r="R40" s="23" t="n">
        <x:v>0</x:v>
      </x:c>
      <x:c r="S40" s="23" t="n">
        <x:v>0</x:v>
      </x:c>
      <x:c r="T40" s="23" t="n">
        <x:v>0</x:v>
      </x:c>
      <x:c r="U40" s="23" t="n">
        <x:v>1798</x:v>
      </x:c>
      <x:c r="V40" s="22" t="str">
        <x:v>-</x:v>
      </x:c>
      <x:c r="W40" s="22" t="str">
        <x:v>-</x:v>
      </x:c>
      <x:c r="X40" s="22" t="str">
        <x:v>-</x:v>
      </x:c>
      <x:c r="Y40" s="23" t="n">
        <x:f>IF(COUNT(P40:R40)=0,"-",SUM(P40:R40))</x:f>
        <x:v>30821</x:v>
      </x:c>
      <x:c r="Z40" s="23" t="n">
        <x:f>IF(COUNT(S40:U40)=0,"-",SUM(S40:U40))</x:f>
        <x:v>1798</x:v>
      </x:c>
      <x:c r="AA40" s="24" t="n">
        <x:f>IF(AND(ISNUMBER(Y40),Y40&gt;0),((Y40-N(Z40))/Y40)*100,"-")</x:f>
        <x:v>94.16631517471853</x:v>
      </x:c>
      <x:c r="AB40" s="22" t="str">
        <x:v>БФО найдена; полнота данных 6/9.</x:v>
      </x:c>
    </x:row>
    <x:row r="41">
      <x:c r="A41" s="22" t="n">
        <x:v>250</x:v>
      </x:c>
      <x:c r="B41" s="22" t="str">
        <x:v>Любим печь</x:v>
      </x:c>
      <x:c r="C41" s="22" t="str">
        <x:v>Улица Ломоносова 90 Краснодар</x:v>
      </x:c>
      <x:c r="D41" s="22" t="n">
        <x:v>1010</x:v>
      </x:c>
      <x:c r="E41" s="22" t="n">
        <x:v>5</x:v>
      </x:c>
      <x:c r="F41" s="22" t="str">
        <x:v>ООО ФИРМА "ПЕЧЬ"</x:v>
      </x:c>
      <x:c r="G41" s="22" t="str">
        <x:v>2365031146</x:v>
      </x:c>
      <x:c r="H41" s="22" t="str">
        <x:v>средняя</x:v>
      </x:c>
      <x:c r="I41" s="22" t="str">
        <x:v>автоподбор ФНС по названию; проверены ОКВЭД 56 и наличие БФО</x:v>
      </x:c>
      <x:c r="J41" s="23" t="n">
        <x:v>2807</x:v>
      </x:c>
      <x:c r="K41" s="23" t="n">
        <x:v>5661</x:v>
      </x:c>
      <x:c r="L41" s="23" t="n">
        <x:v>6016</x:v>
      </x:c>
      <x:c r="M41" s="23" t="n">
        <x:v>744</x:v>
      </x:c>
      <x:c r="N41" s="23" t="n">
        <x:v>820</x:v>
      </x:c>
      <x:c r="O41" s="23" t="n">
        <x:v>-289</x:v>
      </x:c>
      <x:c r="P41" s="23" t="n">
        <x:v>597</x:v>
      </x:c>
      <x:c r="Q41" s="23" t="n">
        <x:v>447</x:v>
      </x:c>
      <x:c r="R41" s="23" t="n">
        <x:v>0</x:v>
      </x:c>
      <x:c r="S41" s="23" t="n">
        <x:v>0</x:v>
      </x:c>
      <x:c r="T41" s="23" t="n">
        <x:v>0</x:v>
      </x:c>
      <x:c r="U41" s="23" t="n">
        <x:v>484</x:v>
      </x:c>
      <x:c r="V41" s="22" t="str">
        <x:v>-</x:v>
      </x:c>
      <x:c r="W41" s="22" t="str">
        <x:v>-</x:v>
      </x:c>
      <x:c r="X41" s="22" t="str">
        <x:v>-</x:v>
      </x:c>
      <x:c r="Y41" s="23" t="n">
        <x:f>IF(COUNT(P41:R41)=0,"-",SUM(P41:R41))</x:f>
        <x:v>1044</x:v>
      </x:c>
      <x:c r="Z41" s="23" t="n">
        <x:f>IF(COUNT(S41:U41)=0,"-",SUM(S41:U41))</x:f>
        <x:v>484</x:v>
      </x:c>
      <x:c r="AA41" s="24" t="n">
        <x:f>IF(AND(ISNUMBER(Y41),Y41&gt;0),((Y41-N(Z41))/Y41)*100,"-")</x:f>
        <x:v>53.63984674329502</x:v>
      </x:c>
      <x:c r="AB41" s="22" t="str">
        <x:v>БФО найдена; полнота данных 9/9.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21.25" hidden="0" customWidth="1"/>
    <x:col min="4" max="4" width="27.5" hidden="0" customWidth="1"/>
    <x:col min="13" max="13" width="41.25" hidden="0" customWidth="1"/>
  </x:cols>
  <x:sheetData>
    <x:row r="1">
      <x:c r="A1" s="18" t="str">
        <x:v>Строка</x:v>
      </x:c>
      <x:c r="B1" s="18" t="str">
        <x:v>Название</x:v>
      </x:c>
      <x:c r="C1" s="18" t="str">
        <x:v>Год</x:v>
      </x:c>
      <x:c r="D1" s="18" t="str">
        <x:v>Юрлицо</x:v>
      </x:c>
      <x:c r="E1" s="18" t="str">
        <x:v>ИНН</x:v>
      </x:c>
      <x:c r="F1" s="18" t="str">
        <x:v>Выручка, тыс. руб.</x:v>
      </x:c>
      <x:c r="G1" s="18" t="str">
        <x:v>Валовая прибыль, тыс. руб.</x:v>
      </x:c>
      <x:c r="H1" s="18" t="str">
        <x:v>Чистая прибыль, тыс. руб.</x:v>
      </x:c>
      <x:c r="I1" s="18" t="str">
        <x:v>Чистый убыток, тыс. руб.</x:v>
      </x:c>
      <x:c r="J1" s="18" t="str">
        <x:v>Персонал</x:v>
      </x:c>
      <x:c r="K1" s="18" t="str">
        <x:v>Дата БФО</x:v>
      </x:c>
      <x:c r="L1" s="18" t="str">
        <x:v>ID отчета</x:v>
      </x:c>
      <x:c r="M1" s="18" t="str">
        <x:v>Источник</x:v>
      </x:c>
    </x:row>
    <x:row r="2">
      <x:c r="A2" s="22" t="n">
        <x:v>163</x:v>
      </x:c>
      <x:c r="B2" s="22" t="str">
        <x:v>Сноб Кофе</x:v>
      </x:c>
      <x:c r="C2" s="22" t="n">
        <x:v>2023</x:v>
      </x:c>
      <x:c r="D2" s="22" t="str">
        <x:v>ООО "КОФЕ-ФЕ"</x:v>
      </x:c>
      <x:c r="E2" s="22" t="str">
        <x:v>2204088208</x:v>
      </x:c>
      <x:c r="F2" s="23" t="n">
        <x:v>15555</x:v>
      </x:c>
      <x:c r="G2" s="23" t="str">
        <x:v>-</x:v>
      </x:c>
      <x:c r="H2" s="23" t="n">
        <x:v>460</x:v>
      </x:c>
      <x:c r="I2" s="23" t="n">
        <x:v>0</x:v>
      </x:c>
      <x:c r="J2" s="22" t="str">
        <x:v>-</x:v>
      </x:c>
      <x:c r="K2" s="22" t="str">
        <x:v>2024-03-27</x:v>
      </x:c>
      <x:c r="L2" s="22" t="n">
        <x:v>21516720</x:v>
      </x:c>
      <x:c r="M2" s="22" t="str">
        <x:v>https://bo.nalog.gov.ru/organizations-card/2204088208</x:v>
      </x:c>
    </x:row>
    <x:row r="3">
      <x:c r="A3" s="22" t="n">
        <x:v>163</x:v>
      </x:c>
      <x:c r="B3" s="22" t="str">
        <x:v>Сноб Кофе</x:v>
      </x:c>
      <x:c r="C3" s="22" t="n">
        <x:v>2024</x:v>
      </x:c>
      <x:c r="D3" s="22" t="str">
        <x:v>ООО "КОФЕ-ФЕ"</x:v>
      </x:c>
      <x:c r="E3" s="22" t="str">
        <x:v>2204088208</x:v>
      </x:c>
      <x:c r="F3" s="23" t="n">
        <x:v>10864</x:v>
      </x:c>
      <x:c r="G3" s="23" t="str">
        <x:v>-</x:v>
      </x:c>
      <x:c r="H3" s="23" t="n">
        <x:v>471</x:v>
      </x:c>
      <x:c r="I3" s="23" t="n">
        <x:v>0</x:v>
      </x:c>
      <x:c r="J3" s="22" t="str">
        <x:v>-</x:v>
      </x:c>
      <x:c r="K3" s="22" t="str">
        <x:v>2025-03-27</x:v>
      </x:c>
      <x:c r="L3" s="22" t="n">
        <x:v>24430773</x:v>
      </x:c>
      <x:c r="M3" s="22" t="str">
        <x:v>https://bo.nalog.gov.ru/organizations-card/2204088208</x:v>
      </x:c>
    </x:row>
    <x:row r="4">
      <x:c r="A4" s="22" t="n">
        <x:v>163</x:v>
      </x:c>
      <x:c r="B4" s="22" t="str">
        <x:v>Сноб Кофе</x:v>
      </x:c>
      <x:c r="C4" s="22" t="n">
        <x:v>2025</x:v>
      </x:c>
      <x:c r="D4" s="22" t="str">
        <x:v>ООО "КОФЕ-ФЕ"</x:v>
      </x:c>
      <x:c r="E4" s="22" t="str">
        <x:v>2204088208</x:v>
      </x:c>
      <x:c r="F4" s="23" t="n">
        <x:v>9202</x:v>
      </x:c>
      <x:c r="G4" s="23" t="str">
        <x:v>-</x:v>
      </x:c>
      <x:c r="H4" s="23" t="n">
        <x:v>258</x:v>
      </x:c>
      <x:c r="I4" s="23" t="n">
        <x:v>0</x:v>
      </x:c>
      <x:c r="J4" s="22" t="str">
        <x:v>-</x:v>
      </x:c>
      <x:c r="K4" s="22" t="str">
        <x:v>2026-03-30</x:v>
      </x:c>
      <x:c r="L4" s="22" t="n">
        <x:v>28591332</x:v>
      </x:c>
      <x:c r="M4" s="22" t="str">
        <x:v>https://bo.nalog.gov.ru/organizations-card/2204088208</x:v>
      </x:c>
    </x:row>
    <x:row r="5">
      <x:c r="A5" s="22" t="n">
        <x:v>165</x:v>
      </x:c>
      <x:c r="B5" s="22" t="str">
        <x:v>Вкусно — и точка</x:v>
      </x:c>
      <x:c r="C5" s="22" t="n">
        <x:v>2023</x:v>
      </x:c>
      <x:c r="D5" s="22" t="str">
        <x:v>ООО "СИСТЕМА ПБО"</x:v>
      </x:c>
      <x:c r="E5" s="22" t="str">
        <x:v>7710044140</x:v>
      </x:c>
      <x:c r="F5" s="23" t="n">
        <x:v>155745210</x:v>
      </x:c>
      <x:c r="G5" s="23" t="n">
        <x:v>27475435</x:v>
      </x:c>
      <x:c r="H5" s="23" t="n">
        <x:v>14174325</x:v>
      </x:c>
      <x:c r="I5" s="23" t="n">
        <x:v>0</x:v>
      </x:c>
      <x:c r="J5" s="22" t="str">
        <x:v>-</x:v>
      </x:c>
      <x:c r="K5" s="22" t="str">
        <x:v>2024-03-15</x:v>
      </x:c>
      <x:c r="L5" s="22" t="n">
        <x:v>20812924</x:v>
      </x:c>
      <x:c r="M5" s="22" t="str">
        <x:v>https://bo.nalog.gov.ru/organizations-card/7710044140</x:v>
      </x:c>
    </x:row>
    <x:row r="6">
      <x:c r="A6" s="22" t="n">
        <x:v>165</x:v>
      </x:c>
      <x:c r="B6" s="22" t="str">
        <x:v>Вкусно — и точка</x:v>
      </x:c>
      <x:c r="C6" s="22" t="n">
        <x:v>2024</x:v>
      </x:c>
      <x:c r="D6" s="22" t="str">
        <x:v>ООО "СИСТЕМА ПБО"</x:v>
      </x:c>
      <x:c r="E6" s="22" t="str">
        <x:v>7710044140</x:v>
      </x:c>
      <x:c r="F6" s="23" t="n">
        <x:v>187357965</x:v>
      </x:c>
      <x:c r="G6" s="23" t="n">
        <x:v>35440526</x:v>
      </x:c>
      <x:c r="H6" s="23" t="n">
        <x:v>16959735</x:v>
      </x:c>
      <x:c r="I6" s="23" t="n">
        <x:v>0</x:v>
      </x:c>
      <x:c r="J6" s="22" t="str">
        <x:v>-</x:v>
      </x:c>
      <x:c r="K6" s="22" t="str">
        <x:v>2025-03-28</x:v>
      </x:c>
      <x:c r="L6" s="22" t="n">
        <x:v>24648516</x:v>
      </x:c>
      <x:c r="M6" s="22" t="str">
        <x:v>https://bo.nalog.gov.ru/organizations-card/7710044140</x:v>
      </x:c>
    </x:row>
    <x:row r="7">
      <x:c r="A7" s="22" t="n">
        <x:v>165</x:v>
      </x:c>
      <x:c r="B7" s="22" t="str">
        <x:v>Вкусно — и точка</x:v>
      </x:c>
      <x:c r="C7" s="22" t="n">
        <x:v>2025</x:v>
      </x:c>
      <x:c r="D7" s="22" t="str">
        <x:v>ООО "СИСТЕМА ПБО"</x:v>
      </x:c>
      <x:c r="E7" s="22" t="str">
        <x:v>7710044140</x:v>
      </x:c>
      <x:c r="F7" s="23" t="n">
        <x:v>218572895</x:v>
      </x:c>
      <x:c r="G7" s="23" t="n">
        <x:v>37855764</x:v>
      </x:c>
      <x:c r="H7" s="23" t="n">
        <x:v>14405355</x:v>
      </x:c>
      <x:c r="I7" s="23" t="n">
        <x:v>0</x:v>
      </x:c>
      <x:c r="J7" s="22" t="str">
        <x:v>-</x:v>
      </x:c>
      <x:c r="K7" s="22" t="str">
        <x:v>2026-03-27</x:v>
      </x:c>
      <x:c r="L7" s="22" t="n">
        <x:v>28271327</x:v>
      </x:c>
      <x:c r="M7" s="22" t="str">
        <x:v>https://bo.nalog.gov.ru/organizations-card/7710044140</x:v>
      </x:c>
    </x:row>
    <x:row r="8">
      <x:c r="A8" s="22" t="n">
        <x:v>172</x:v>
      </x:c>
      <x:c r="B8" s="22" t="str">
        <x:v>Вкусно — и точка</x:v>
      </x:c>
      <x:c r="C8" s="22" t="n">
        <x:v>2023</x:v>
      </x:c>
      <x:c r="D8" s="22" t="str">
        <x:v>ООО "СИСТЕМА ПБО"</x:v>
      </x:c>
      <x:c r="E8" s="22" t="str">
        <x:v>7710044140</x:v>
      </x:c>
      <x:c r="F8" s="23" t="n">
        <x:v>155745210</x:v>
      </x:c>
      <x:c r="G8" s="23" t="n">
        <x:v>27475435</x:v>
      </x:c>
      <x:c r="H8" s="23" t="n">
        <x:v>14174325</x:v>
      </x:c>
      <x:c r="I8" s="23" t="n">
        <x:v>0</x:v>
      </x:c>
      <x:c r="J8" s="22" t="str">
        <x:v>-</x:v>
      </x:c>
      <x:c r="K8" s="22" t="str">
        <x:v>2024-03-15</x:v>
      </x:c>
      <x:c r="L8" s="22" t="n">
        <x:v>20812924</x:v>
      </x:c>
      <x:c r="M8" s="22" t="str">
        <x:v>https://bo.nalog.gov.ru/organizations-card/7710044140</x:v>
      </x:c>
    </x:row>
    <x:row r="9">
      <x:c r="A9" s="22" t="n">
        <x:v>172</x:v>
      </x:c>
      <x:c r="B9" s="22" t="str">
        <x:v>Вкусно — и точка</x:v>
      </x:c>
      <x:c r="C9" s="22" t="n">
        <x:v>2024</x:v>
      </x:c>
      <x:c r="D9" s="22" t="str">
        <x:v>ООО "СИСТЕМА ПБО"</x:v>
      </x:c>
      <x:c r="E9" s="22" t="str">
        <x:v>7710044140</x:v>
      </x:c>
      <x:c r="F9" s="23" t="n">
        <x:v>187357965</x:v>
      </x:c>
      <x:c r="G9" s="23" t="n">
        <x:v>35440526</x:v>
      </x:c>
      <x:c r="H9" s="23" t="n">
        <x:v>16959735</x:v>
      </x:c>
      <x:c r="I9" s="23" t="n">
        <x:v>0</x:v>
      </x:c>
      <x:c r="J9" s="22" t="str">
        <x:v>-</x:v>
      </x:c>
      <x:c r="K9" s="22" t="str">
        <x:v>2025-03-28</x:v>
      </x:c>
      <x:c r="L9" s="22" t="n">
        <x:v>24648516</x:v>
      </x:c>
      <x:c r="M9" s="22" t="str">
        <x:v>https://bo.nalog.gov.ru/organizations-card/7710044140</x:v>
      </x:c>
    </x:row>
    <x:row r="10">
      <x:c r="A10" s="22" t="n">
        <x:v>172</x:v>
      </x:c>
      <x:c r="B10" s="22" t="str">
        <x:v>Вкусно — и точка</x:v>
      </x:c>
      <x:c r="C10" s="22" t="n">
        <x:v>2025</x:v>
      </x:c>
      <x:c r="D10" s="22" t="str">
        <x:v>ООО "СИСТЕМА ПБО"</x:v>
      </x:c>
      <x:c r="E10" s="22" t="str">
        <x:v>7710044140</x:v>
      </x:c>
      <x:c r="F10" s="23" t="n">
        <x:v>218572895</x:v>
      </x:c>
      <x:c r="G10" s="23" t="n">
        <x:v>37855764</x:v>
      </x:c>
      <x:c r="H10" s="23" t="n">
        <x:v>14405355</x:v>
      </x:c>
      <x:c r="I10" s="23" t="n">
        <x:v>0</x:v>
      </x:c>
      <x:c r="J10" s="22" t="str">
        <x:v>-</x:v>
      </x:c>
      <x:c r="K10" s="22" t="str">
        <x:v>2026-03-27</x:v>
      </x:c>
      <x:c r="L10" s="22" t="n">
        <x:v>28271327</x:v>
      </x:c>
      <x:c r="M10" s="22" t="str">
        <x:v>https://bo.nalog.gov.ru/organizations-card/7710044140</x:v>
      </x:c>
    </x:row>
    <x:row r="11">
      <x:c r="A11" s="22" t="n">
        <x:v>180</x:v>
      </x:c>
      <x:c r="B11" s="22" t="str">
        <x:v>Бурум</x:v>
      </x:c>
      <x:c r="C11" s="22" t="n">
        <x:v>2023</x:v>
      </x:c>
      <x:c r="D11" s="22" t="str">
        <x:v>ООО "БУРУМ"</x:v>
      </x:c>
      <x:c r="E11" s="22" t="str">
        <x:v>2623033142</x:v>
      </x:c>
      <x:c r="F11" s="23" t="n">
        <x:v>2616</x:v>
      </x:c>
      <x:c r="G11" s="23" t="str">
        <x:v>-</x:v>
      </x:c>
      <x:c r="H11" s="23" t="n">
        <x:v>0</x:v>
      </x:c>
      <x:c r="I11" s="23" t="n">
        <x:v>101</x:v>
      </x:c>
      <x:c r="J11" s="22" t="str">
        <x:v>-</x:v>
      </x:c>
      <x:c r="K11" s="22" t="str">
        <x:v>2024-02-19</x:v>
      </x:c>
      <x:c r="L11" s="22" t="n">
        <x:v>20361788</x:v>
      </x:c>
      <x:c r="M11" s="22" t="str">
        <x:v>https://bo.nalog.gov.ru/organizations-card/2623033142</x:v>
      </x:c>
    </x:row>
    <x:row r="12">
      <x:c r="A12" s="22" t="n">
        <x:v>180</x:v>
      </x:c>
      <x:c r="B12" s="22" t="str">
        <x:v>Бурум</x:v>
      </x:c>
      <x:c r="C12" s="22" t="n">
        <x:v>2024</x:v>
      </x:c>
      <x:c r="D12" s="22" t="str">
        <x:v>ООО "БУРУМ"</x:v>
      </x:c>
      <x:c r="E12" s="22" t="str">
        <x:v>2623033142</x:v>
      </x:c>
      <x:c r="F12" s="23" t="n">
        <x:v>4354</x:v>
      </x:c>
      <x:c r="G12" s="23" t="str">
        <x:v>-</x:v>
      </x:c>
      <x:c r="H12" s="23" t="n">
        <x:v>1687</x:v>
      </x:c>
      <x:c r="I12" s="23" t="n">
        <x:v>0</x:v>
      </x:c>
      <x:c r="J12" s="22" t="str">
        <x:v>-</x:v>
      </x:c>
      <x:c r="K12" s="22" t="str">
        <x:v>2025-03-31</x:v>
      </x:c>
      <x:c r="L12" s="22" t="n">
        <x:v>24823948</x:v>
      </x:c>
      <x:c r="M12" s="22" t="str">
        <x:v>https://bo.nalog.gov.ru/organizations-card/2623033142</x:v>
      </x:c>
    </x:row>
    <x:row r="13">
      <x:c r="A13" s="22" t="n">
        <x:v>180</x:v>
      </x:c>
      <x:c r="B13" s="22" t="str">
        <x:v>Бурум</x:v>
      </x:c>
      <x:c r="C13" s="22" t="n">
        <x:v>2025</x:v>
      </x:c>
      <x:c r="D13" s="22" t="str">
        <x:v>ООО "БУРУМ"</x:v>
      </x:c>
      <x:c r="E13" s="22" t="str">
        <x:v>2623033142</x:v>
      </x:c>
      <x:c r="F13" s="23" t="n">
        <x:v>3992</x:v>
      </x:c>
      <x:c r="G13" s="23" t="str">
        <x:v>-</x:v>
      </x:c>
      <x:c r="H13" s="23" t="n">
        <x:v>823</x:v>
      </x:c>
      <x:c r="I13" s="23" t="n">
        <x:v>0</x:v>
      </x:c>
      <x:c r="J13" s="22" t="str">
        <x:v>-</x:v>
      </x:c>
      <x:c r="K13" s="22" t="str">
        <x:v>2026-03-24</x:v>
      </x:c>
      <x:c r="L13" s="22" t="n">
        <x:v>27650241</x:v>
      </x:c>
      <x:c r="M13" s="22" t="str">
        <x:v>https://bo.nalog.gov.ru/organizations-card/2623033142</x:v>
      </x:c>
    </x:row>
    <x:row r="14">
      <x:c r="A14" s="22" t="n">
        <x:v>183</x:v>
      </x:c>
      <x:c r="B14" s="22" t="str">
        <x:v>Шашлык Юга</x:v>
      </x:c>
      <x:c r="C14" s="22" t="n">
        <x:v>2023</x:v>
      </x:c>
      <x:c r="D14" s="22" t="str">
        <x:v>ООО "ЮГА"</x:v>
      </x:c>
      <x:c r="E14" s="22" t="str">
        <x:v>2317077292</x:v>
      </x:c>
      <x:c r="F14" s="23" t="n">
        <x:v>85124</x:v>
      </x:c>
      <x:c r="G14" s="23" t="str">
        <x:v>-</x:v>
      </x:c>
      <x:c r="H14" s="23" t="n">
        <x:v>6566</x:v>
      </x:c>
      <x:c r="I14" s="23" t="n">
        <x:v>0</x:v>
      </x:c>
      <x:c r="J14" s="22" t="str">
        <x:v>-</x:v>
      </x:c>
      <x:c r="K14" s="22" t="str">
        <x:v>2024-03-29</x:v>
      </x:c>
      <x:c r="L14" s="22" t="n">
        <x:v>21844148</x:v>
      </x:c>
      <x:c r="M14" s="22" t="str">
        <x:v>https://bo.nalog.gov.ru/organizations-card/2317077292</x:v>
      </x:c>
    </x:row>
    <x:row r="15">
      <x:c r="A15" s="22" t="n">
        <x:v>183</x:v>
      </x:c>
      <x:c r="B15" s="22" t="str">
        <x:v>Шашлык Юга</x:v>
      </x:c>
      <x:c r="C15" s="22" t="n">
        <x:v>2024</x:v>
      </x:c>
      <x:c r="D15" s="22" t="str">
        <x:v>ООО "ЮГА"</x:v>
      </x:c>
      <x:c r="E15" s="22" t="str">
        <x:v>2317077292</x:v>
      </x:c>
      <x:c r="F15" s="23" t="n">
        <x:v>48614</x:v>
      </x:c>
      <x:c r="G15" s="23" t="str">
        <x:v>-</x:v>
      </x:c>
      <x:c r="H15" s="23" t="n">
        <x:v>10561</x:v>
      </x:c>
      <x:c r="I15" s="23" t="n">
        <x:v>0</x:v>
      </x:c>
      <x:c r="J15" s="22" t="str">
        <x:v>-</x:v>
      </x:c>
      <x:c r="K15" s="22" t="str">
        <x:v>2025-03-28</x:v>
      </x:c>
      <x:c r="L15" s="22" t="n">
        <x:v>24659635</x:v>
      </x:c>
      <x:c r="M15" s="22" t="str">
        <x:v>https://bo.nalog.gov.ru/organizations-card/2317077292</x:v>
      </x:c>
    </x:row>
    <x:row r="16">
      <x:c r="A16" s="22" t="n">
        <x:v>183</x:v>
      </x:c>
      <x:c r="B16" s="22" t="str">
        <x:v>Шашлык Юга</x:v>
      </x:c>
      <x:c r="C16" s="22" t="n">
        <x:v>2025</x:v>
      </x:c>
      <x:c r="D16" s="22" t="str">
        <x:v>ООО "ЮГА"</x:v>
      </x:c>
      <x:c r="E16" s="22" t="str">
        <x:v>2317077292</x:v>
      </x:c>
      <x:c r="F16" s="23" t="n">
        <x:v>6</x:v>
      </x:c>
      <x:c r="G16" s="23" t="str">
        <x:v>-</x:v>
      </x:c>
      <x:c r="H16" s="23" t="n">
        <x:v>0</x:v>
      </x:c>
      <x:c r="I16" s="23" t="n">
        <x:v>4797</x:v>
      </x:c>
      <x:c r="J16" s="22" t="str">
        <x:v>-</x:v>
      </x:c>
      <x:c r="K16" s="22" t="str">
        <x:v>2026-03-31</x:v>
      </x:c>
      <x:c r="L16" s="22" t="n">
        <x:v>29573496</x:v>
      </x:c>
      <x:c r="M16" s="22" t="str">
        <x:v>https://bo.nalog.gov.ru/organizations-card/2317077292</x:v>
      </x:c>
    </x:row>
    <x:row r="17">
      <x:c r="A17" s="22" t="n">
        <x:v>184</x:v>
      </x:c>
      <x:c r="B17" s="22" t="str">
        <x:v>Бургер Кинг</x:v>
      </x:c>
      <x:c r="C17" s="22" t="n">
        <x:v>2023</x:v>
      </x:c>
      <x:c r="D17" s="22" t="str">
        <x:v>ООО "БУРГЕР РУС"</x:v>
      </x:c>
      <x:c r="E17" s="22" t="str">
        <x:v>7719723690</x:v>
      </x:c>
      <x:c r="F17" s="23" t="n">
        <x:v>74455646</x:v>
      </x:c>
      <x:c r="G17" s="23" t="n">
        <x:v>15131005</x:v>
      </x:c>
      <x:c r="H17" s="23" t="n">
        <x:v>1799543</x:v>
      </x:c>
      <x:c r="I17" s="23" t="n">
        <x:v>0</x:v>
      </x:c>
      <x:c r="J17" s="22" t="str">
        <x:v>-</x:v>
      </x:c>
      <x:c r="K17" s="22" t="str">
        <x:v>2024-05-28</x:v>
      </x:c>
      <x:c r="L17" s="22" t="n">
        <x:v>22147779</x:v>
      </x:c>
      <x:c r="M17" s="22" t="str">
        <x:v>https://bo.nalog.gov.ru/organizations-card/7719723690</x:v>
      </x:c>
    </x:row>
    <x:row r="18">
      <x:c r="A18" s="22" t="n">
        <x:v>184</x:v>
      </x:c>
      <x:c r="B18" s="22" t="str">
        <x:v>Бургер Кинг</x:v>
      </x:c>
      <x:c r="C18" s="22" t="n">
        <x:v>2024</x:v>
      </x:c>
      <x:c r="D18" s="22" t="str">
        <x:v>ООО "БУРГЕР РУС"</x:v>
      </x:c>
      <x:c r="E18" s="22" t="str">
        <x:v>7719723690</x:v>
      </x:c>
      <x:c r="F18" s="23" t="n">
        <x:v>90264478</x:v>
      </x:c>
      <x:c r="G18" s="23" t="n">
        <x:v>17291096</x:v>
      </x:c>
      <x:c r="H18" s="23" t="n">
        <x:v>1634622</x:v>
      </x:c>
      <x:c r="I18" s="23" t="n">
        <x:v>0</x:v>
      </x:c>
      <x:c r="J18" s="22" t="str">
        <x:v>-</x:v>
      </x:c>
      <x:c r="K18" s="22" t="str">
        <x:v>2025-06-03</x:v>
      </x:c>
      <x:c r="L18" s="22" t="n">
        <x:v>25161767</x:v>
      </x:c>
      <x:c r="M18" s="22" t="str">
        <x:v>https://bo.nalog.gov.ru/organizations-card/7719723690</x:v>
      </x:c>
    </x:row>
    <x:row r="19">
      <x:c r="A19" s="22" t="n">
        <x:v>184</x:v>
      </x:c>
      <x:c r="B19" s="22" t="str">
        <x:v>Бургер Кинг</x:v>
      </x:c>
      <x:c r="C19" s="22" t="n">
        <x:v>2025</x:v>
      </x:c>
      <x:c r="D19" s="22" t="str">
        <x:v>ООО "БУРГЕР РУС"</x:v>
      </x:c>
      <x:c r="E19" s="22" t="str">
        <x:v>7719723690</x:v>
      </x:c>
      <x:c r="F19" s="23" t="n">
        <x:v>103954806</x:v>
      </x:c>
      <x:c r="G19" s="23" t="n">
        <x:v>17849571</x:v>
      </x:c>
      <x:c r="H19" s="23" t="n">
        <x:v>637589</x:v>
      </x:c>
      <x:c r="I19" s="23" t="n">
        <x:v>0</x:v>
      </x:c>
      <x:c r="J19" s="22" t="str">
        <x:v>-</x:v>
      </x:c>
      <x:c r="K19" s="22" t="str">
        <x:v>2026-03-31</x:v>
      </x:c>
      <x:c r="L19" s="22" t="n">
        <x:v>30033406</x:v>
      </x:c>
      <x:c r="M19" s="22" t="str">
        <x:v>https://bo.nalog.gov.ru/organizations-card/7719723690</x:v>
      </x:c>
    </x:row>
    <x:row r="20">
      <x:c r="A20" s="22" t="n">
        <x:v>185</x:v>
      </x:c>
      <x:c r="B20" s="22" t="str">
        <x:v>SBW х Subway</x:v>
      </x:c>
      <x:c r="C20" s="22" t="n">
        <x:v>2023</x:v>
      </x:c>
      <x:c r="D20" s="22" t="str">
        <x:v>ООО "ССК"</x:v>
      </x:c>
      <x:c r="E20" s="22" t="str">
        <x:v>7810476672</x:v>
      </x:c>
      <x:c r="F20" s="23" t="n">
        <x:v>75067</x:v>
      </x:c>
      <x:c r="G20" s="23" t="str">
        <x:v>-</x:v>
      </x:c>
      <x:c r="H20" s="23" t="n">
        <x:v>0</x:v>
      </x:c>
      <x:c r="I20" s="23" t="n">
        <x:v>13678</x:v>
      </x:c>
      <x:c r="J20" s="22" t="str">
        <x:v>-</x:v>
      </x:c>
      <x:c r="K20" s="22" t="str">
        <x:v>2024-03-24</x:v>
      </x:c>
      <x:c r="L20" s="22" t="n">
        <x:v>21263108</x:v>
      </x:c>
      <x:c r="M20" s="22" t="str">
        <x:v>https://bo.nalog.gov.ru/organizations-card/7810476672</x:v>
      </x:c>
    </x:row>
    <x:row r="21">
      <x:c r="A21" s="22" t="n">
        <x:v>185</x:v>
      </x:c>
      <x:c r="B21" s="22" t="str">
        <x:v>SBW х Subway</x:v>
      </x:c>
      <x:c r="C21" s="22" t="n">
        <x:v>2024</x:v>
      </x:c>
      <x:c r="D21" s="22" t="str">
        <x:v>ООО "ССК"</x:v>
      </x:c>
      <x:c r="E21" s="22" t="str">
        <x:v>7810476672</x:v>
      </x:c>
      <x:c r="F21" s="23" t="n">
        <x:v>156359</x:v>
      </x:c>
      <x:c r="G21" s="23" t="str">
        <x:v>-</x:v>
      </x:c>
      <x:c r="H21" s="23" t="n">
        <x:v>49593</x:v>
      </x:c>
      <x:c r="I21" s="23" t="n">
        <x:v>0</x:v>
      </x:c>
      <x:c r="J21" s="22" t="str">
        <x:v>-</x:v>
      </x:c>
      <x:c r="K21" s="22" t="str">
        <x:v>2025-03-28</x:v>
      </x:c>
      <x:c r="L21" s="22" t="n">
        <x:v>24578363</x:v>
      </x:c>
      <x:c r="M21" s="22" t="str">
        <x:v>https://bo.nalog.gov.ru/organizations-card/7810476672</x:v>
      </x:c>
    </x:row>
    <x:row r="22">
      <x:c r="A22" s="22" t="n">
        <x:v>185</x:v>
      </x:c>
      <x:c r="B22" s="22" t="str">
        <x:v>SBW х Subway</x:v>
      </x:c>
      <x:c r="C22" s="22" t="n">
        <x:v>2025</x:v>
      </x:c>
      <x:c r="D22" s="22" t="str">
        <x:v>ООО "ССК"</x:v>
      </x:c>
      <x:c r="E22" s="22" t="str">
        <x:v>7810476672</x:v>
      </x:c>
      <x:c r="F22" s="23" t="n">
        <x:v>117703</x:v>
      </x:c>
      <x:c r="G22" s="23" t="str">
        <x:v>-</x:v>
      </x:c>
      <x:c r="H22" s="23" t="n">
        <x:v>19567</x:v>
      </x:c>
      <x:c r="I22" s="23" t="n">
        <x:v>0</x:v>
      </x:c>
      <x:c r="J22" s="22" t="str">
        <x:v>-</x:v>
      </x:c>
      <x:c r="K22" s="22" t="str">
        <x:v>2026-03-25</x:v>
      </x:c>
      <x:c r="L22" s="22" t="n">
        <x:v>27914731</x:v>
      </x:c>
      <x:c r="M22" s="22" t="str">
        <x:v>https://bo.nalog.gov.ru/organizations-card/7810476672</x:v>
      </x:c>
    </x:row>
    <x:row r="23">
      <x:c r="A23" s="22" t="n">
        <x:v>186</x:v>
      </x:c>
      <x:c r="B23" s="22" t="str">
        <x:v>Шашлык Юга</x:v>
      </x:c>
      <x:c r="C23" s="22" t="n">
        <x:v>2023</x:v>
      </x:c>
      <x:c r="D23" s="22" t="str">
        <x:v>ООО "ЮГА"</x:v>
      </x:c>
      <x:c r="E23" s="22" t="str">
        <x:v>2317077292</x:v>
      </x:c>
      <x:c r="F23" s="23" t="n">
        <x:v>85124</x:v>
      </x:c>
      <x:c r="G23" s="23" t="str">
        <x:v>-</x:v>
      </x:c>
      <x:c r="H23" s="23" t="n">
        <x:v>6566</x:v>
      </x:c>
      <x:c r="I23" s="23" t="n">
        <x:v>0</x:v>
      </x:c>
      <x:c r="J23" s="22" t="str">
        <x:v>-</x:v>
      </x:c>
      <x:c r="K23" s="22" t="str">
        <x:v>2024-03-29</x:v>
      </x:c>
      <x:c r="L23" s="22" t="n">
        <x:v>21844148</x:v>
      </x:c>
      <x:c r="M23" s="22" t="str">
        <x:v>https://bo.nalog.gov.ru/organizations-card/2317077292</x:v>
      </x:c>
    </x:row>
    <x:row r="24">
      <x:c r="A24" s="22" t="n">
        <x:v>186</x:v>
      </x:c>
      <x:c r="B24" s="22" t="str">
        <x:v>Шашлык Юга</x:v>
      </x:c>
      <x:c r="C24" s="22" t="n">
        <x:v>2024</x:v>
      </x:c>
      <x:c r="D24" s="22" t="str">
        <x:v>ООО "ЮГА"</x:v>
      </x:c>
      <x:c r="E24" s="22" t="str">
        <x:v>2317077292</x:v>
      </x:c>
      <x:c r="F24" s="23" t="n">
        <x:v>48614</x:v>
      </x:c>
      <x:c r="G24" s="23" t="str">
        <x:v>-</x:v>
      </x:c>
      <x:c r="H24" s="23" t="n">
        <x:v>10561</x:v>
      </x:c>
      <x:c r="I24" s="23" t="n">
        <x:v>0</x:v>
      </x:c>
      <x:c r="J24" s="22" t="str">
        <x:v>-</x:v>
      </x:c>
      <x:c r="K24" s="22" t="str">
        <x:v>2025-03-28</x:v>
      </x:c>
      <x:c r="L24" s="22" t="n">
        <x:v>24659635</x:v>
      </x:c>
      <x:c r="M24" s="22" t="str">
        <x:v>https://bo.nalog.gov.ru/organizations-card/2317077292</x:v>
      </x:c>
    </x:row>
    <x:row r="25">
      <x:c r="A25" s="22" t="n">
        <x:v>186</x:v>
      </x:c>
      <x:c r="B25" s="22" t="str">
        <x:v>Шашлык Юга</x:v>
      </x:c>
      <x:c r="C25" s="22" t="n">
        <x:v>2025</x:v>
      </x:c>
      <x:c r="D25" s="22" t="str">
        <x:v>ООО "ЮГА"</x:v>
      </x:c>
      <x:c r="E25" s="22" t="str">
        <x:v>2317077292</x:v>
      </x:c>
      <x:c r="F25" s="23" t="n">
        <x:v>6</x:v>
      </x:c>
      <x:c r="G25" s="23" t="str">
        <x:v>-</x:v>
      </x:c>
      <x:c r="H25" s="23" t="n">
        <x:v>0</x:v>
      </x:c>
      <x:c r="I25" s="23" t="n">
        <x:v>4797</x:v>
      </x:c>
      <x:c r="J25" s="22" t="str">
        <x:v>-</x:v>
      </x:c>
      <x:c r="K25" s="22" t="str">
        <x:v>2026-03-31</x:v>
      </x:c>
      <x:c r="L25" s="22" t="n">
        <x:v>29573496</x:v>
      </x:c>
      <x:c r="M25" s="22" t="str">
        <x:v>https://bo.nalog.gov.ru/organizations-card/2317077292</x:v>
      </x:c>
    </x:row>
    <x:row r="26">
      <x:c r="A26" s="22" t="n">
        <x:v>187</x:v>
      </x:c>
      <x:c r="B26" s="22" t="str">
        <x:v>Вкусно — и точка</x:v>
      </x:c>
      <x:c r="C26" s="22" t="n">
        <x:v>2023</x:v>
      </x:c>
      <x:c r="D26" s="22" t="str">
        <x:v>ООО "СИСТЕМА ПБО"</x:v>
      </x:c>
      <x:c r="E26" s="22" t="str">
        <x:v>7710044140</x:v>
      </x:c>
      <x:c r="F26" s="23" t="n">
        <x:v>155745210</x:v>
      </x:c>
      <x:c r="G26" s="23" t="n">
        <x:v>27475435</x:v>
      </x:c>
      <x:c r="H26" s="23" t="n">
        <x:v>14174325</x:v>
      </x:c>
      <x:c r="I26" s="23" t="n">
        <x:v>0</x:v>
      </x:c>
      <x:c r="J26" s="22" t="str">
        <x:v>-</x:v>
      </x:c>
      <x:c r="K26" s="22" t="str">
        <x:v>2024-03-15</x:v>
      </x:c>
      <x:c r="L26" s="22" t="n">
        <x:v>20812924</x:v>
      </x:c>
      <x:c r="M26" s="22" t="str">
        <x:v>https://bo.nalog.gov.ru/organizations-card/7710044140</x:v>
      </x:c>
    </x:row>
    <x:row r="27">
      <x:c r="A27" s="22" t="n">
        <x:v>187</x:v>
      </x:c>
      <x:c r="B27" s="22" t="str">
        <x:v>Вкусно — и точка</x:v>
      </x:c>
      <x:c r="C27" s="22" t="n">
        <x:v>2024</x:v>
      </x:c>
      <x:c r="D27" s="22" t="str">
        <x:v>ООО "СИСТЕМА ПБО"</x:v>
      </x:c>
      <x:c r="E27" s="22" t="str">
        <x:v>7710044140</x:v>
      </x:c>
      <x:c r="F27" s="23" t="n">
        <x:v>187357965</x:v>
      </x:c>
      <x:c r="G27" s="23" t="n">
        <x:v>35440526</x:v>
      </x:c>
      <x:c r="H27" s="23" t="n">
        <x:v>16959735</x:v>
      </x:c>
      <x:c r="I27" s="23" t="n">
        <x:v>0</x:v>
      </x:c>
      <x:c r="J27" s="22" t="str">
        <x:v>-</x:v>
      </x:c>
      <x:c r="K27" s="22" t="str">
        <x:v>2025-03-28</x:v>
      </x:c>
      <x:c r="L27" s="22" t="n">
        <x:v>24648516</x:v>
      </x:c>
      <x:c r="M27" s="22" t="str">
        <x:v>https://bo.nalog.gov.ru/organizations-card/7710044140</x:v>
      </x:c>
    </x:row>
    <x:row r="28">
      <x:c r="A28" s="22" t="n">
        <x:v>187</x:v>
      </x:c>
      <x:c r="B28" s="22" t="str">
        <x:v>Вкусно — и точка</x:v>
      </x:c>
      <x:c r="C28" s="22" t="n">
        <x:v>2025</x:v>
      </x:c>
      <x:c r="D28" s="22" t="str">
        <x:v>ООО "СИСТЕМА ПБО"</x:v>
      </x:c>
      <x:c r="E28" s="22" t="str">
        <x:v>7710044140</x:v>
      </x:c>
      <x:c r="F28" s="23" t="n">
        <x:v>218572895</x:v>
      </x:c>
      <x:c r="G28" s="23" t="n">
        <x:v>37855764</x:v>
      </x:c>
      <x:c r="H28" s="23" t="n">
        <x:v>14405355</x:v>
      </x:c>
      <x:c r="I28" s="23" t="n">
        <x:v>0</x:v>
      </x:c>
      <x:c r="J28" s="22" t="str">
        <x:v>-</x:v>
      </x:c>
      <x:c r="K28" s="22" t="str">
        <x:v>2026-03-27</x:v>
      </x:c>
      <x:c r="L28" s="22" t="n">
        <x:v>28271327</x:v>
      </x:c>
      <x:c r="M28" s="22" t="str">
        <x:v>https://bo.nalog.gov.ru/organizations-card/7710044140</x:v>
      </x:c>
    </x:row>
    <x:row r="29">
      <x:c r="A29" s="22" t="n">
        <x:v>188</x:v>
      </x:c>
      <x:c r="B29" s="22" t="str">
        <x:v>Дар Пицца</x:v>
      </x:c>
      <x:c r="C29" s="22" t="n">
        <x:v>2023</x:v>
      </x:c>
      <x:c r="D29" s="22" t="str">
        <x:v>ООО "ПИЦЦА КРАСНОДАР"</x:v>
      </x:c>
      <x:c r="E29" s="22" t="str">
        <x:v>2311356162</x:v>
      </x:c>
      <x:c r="F29" s="23" t="str">
        <x:v>-</x:v>
      </x:c>
      <x:c r="G29" s="23" t="str">
        <x:v>-</x:v>
      </x:c>
      <x:c r="H29" s="23" t="str">
        <x:v>-</x:v>
      </x:c>
      <x:c r="I29" s="23" t="str">
        <x:v>-</x:v>
      </x:c>
      <x:c r="J29" s="22" t="str">
        <x:v>-</x:v>
      </x:c>
      <x:c r="K29" s="22" t="str">
        <x:v>-</x:v>
      </x:c>
      <x:c r="L29" s="22" t="str">
        <x:v>-</x:v>
      </x:c>
      <x:c r="M29" s="22" t="str">
        <x:v>-</x:v>
      </x:c>
    </x:row>
    <x:row r="30">
      <x:c r="A30" s="22" t="n">
        <x:v>188</x:v>
      </x:c>
      <x:c r="B30" s="22" t="str">
        <x:v>Дар Пицца</x:v>
      </x:c>
      <x:c r="C30" s="22" t="n">
        <x:v>2024</x:v>
      </x:c>
      <x:c r="D30" s="22" t="str">
        <x:v>ООО "ПИЦЦА КРАСНОДАР"</x:v>
      </x:c>
      <x:c r="E30" s="22" t="str">
        <x:v>2311356162</x:v>
      </x:c>
      <x:c r="F30" s="23" t="n">
        <x:v>106727</x:v>
      </x:c>
      <x:c r="G30" s="23" t="str">
        <x:v>-</x:v>
      </x:c>
      <x:c r="H30" s="23" t="n">
        <x:v>485</x:v>
      </x:c>
      <x:c r="I30" s="23" t="n">
        <x:v>0</x:v>
      </x:c>
      <x:c r="J30" s="22" t="str">
        <x:v>-</x:v>
      </x:c>
      <x:c r="K30" s="22" t="str">
        <x:v>2025-03-31</x:v>
      </x:c>
      <x:c r="L30" s="22" t="n">
        <x:v>25202889</x:v>
      </x:c>
      <x:c r="M30" s="22" t="str">
        <x:v>https://bo.nalog.gov.ru/organizations-card/2311356162</x:v>
      </x:c>
    </x:row>
    <x:row r="31">
      <x:c r="A31" s="22" t="n">
        <x:v>188</x:v>
      </x:c>
      <x:c r="B31" s="22" t="str">
        <x:v>Дар Пицца</x:v>
      </x:c>
      <x:c r="C31" s="22" t="n">
        <x:v>2025</x:v>
      </x:c>
      <x:c r="D31" s="22" t="str">
        <x:v>ООО "ПИЦЦА КРАСНОДАР"</x:v>
      </x:c>
      <x:c r="E31" s="22" t="str">
        <x:v>2311356162</x:v>
      </x:c>
      <x:c r="F31" s="23" t="n">
        <x:v>209579</x:v>
      </x:c>
      <x:c r="G31" s="23" t="str">
        <x:v>-</x:v>
      </x:c>
      <x:c r="H31" s="23" t="n">
        <x:v>116</x:v>
      </x:c>
      <x:c r="I31" s="23" t="n">
        <x:v>0</x:v>
      </x:c>
      <x:c r="J31" s="22" t="str">
        <x:v>-</x:v>
      </x:c>
      <x:c r="K31" s="22" t="str">
        <x:v>2026-03-30</x:v>
      </x:c>
      <x:c r="L31" s="22" t="n">
        <x:v>29067116</x:v>
      </x:c>
      <x:c r="M31" s="22" t="str">
        <x:v>https://bo.nalog.gov.ru/organizations-card/2311356162</x:v>
      </x:c>
    </x:row>
    <x:row r="32">
      <x:c r="A32" s="22" t="n">
        <x:v>193</x:v>
      </x:c>
      <x:c r="B32" s="22" t="str">
        <x:v>СушиВесла</x:v>
      </x:c>
      <x:c r="C32" s="22" t="n">
        <x:v>2023</x:v>
      </x:c>
      <x:c r="D32" s="22" t="str">
        <x:v>ООО "УПРАВЛЯЮЩАЯ КОМПАНИЯ "СУШИВЕСЛА"</x:v>
      </x:c>
      <x:c r="E32" s="22" t="str">
        <x:v>3444210862</x:v>
      </x:c>
      <x:c r="F32" s="23" t="n">
        <x:v>158039</x:v>
      </x:c>
      <x:c r="G32" s="23" t="n">
        <x:v>144977</x:v>
      </x:c>
      <x:c r="H32" s="23" t="n">
        <x:v>26406</x:v>
      </x:c>
      <x:c r="I32" s="23" t="n">
        <x:v>0</x:v>
      </x:c>
      <x:c r="J32" s="22" t="str">
        <x:v>-</x:v>
      </x:c>
      <x:c r="K32" s="22" t="str">
        <x:v>2024-04-01</x:v>
      </x:c>
      <x:c r="L32" s="22" t="n">
        <x:v>22169609</x:v>
      </x:c>
      <x:c r="M32" s="22" t="str">
        <x:v>https://bo.nalog.gov.ru/organizations-card/3444210862</x:v>
      </x:c>
    </x:row>
    <x:row r="33">
      <x:c r="A33" s="22" t="n">
        <x:v>193</x:v>
      </x:c>
      <x:c r="B33" s="22" t="str">
        <x:v>СушиВесла</x:v>
      </x:c>
      <x:c r="C33" s="22" t="n">
        <x:v>2024</x:v>
      </x:c>
      <x:c r="D33" s="22" t="str">
        <x:v>ООО "УПРАВЛЯЮЩАЯ КОМПАНИЯ "СУШИВЕСЛА"</x:v>
      </x:c>
      <x:c r="E33" s="22" t="str">
        <x:v>3444210862</x:v>
      </x:c>
      <x:c r="F33" s="23" t="n">
        <x:v>173572</x:v>
      </x:c>
      <x:c r="G33" s="23" t="n">
        <x:v>173572</x:v>
      </x:c>
      <x:c r="H33" s="23" t="n">
        <x:v>16663</x:v>
      </x:c>
      <x:c r="I33" s="23" t="n">
        <x:v>0</x:v>
      </x:c>
      <x:c r="J33" s="22" t="str">
        <x:v>-</x:v>
      </x:c>
      <x:c r="K33" s="22" t="str">
        <x:v>2025-04-07</x:v>
      </x:c>
      <x:c r="L33" s="22" t="n">
        <x:v>25060620</x:v>
      </x:c>
      <x:c r="M33" s="22" t="str">
        <x:v>https://bo.nalog.gov.ru/organizations-card/3444210862</x:v>
      </x:c>
    </x:row>
    <x:row r="34">
      <x:c r="A34" s="22" t="n">
        <x:v>193</x:v>
      </x:c>
      <x:c r="B34" s="22" t="str">
        <x:v>СушиВесла</x:v>
      </x:c>
      <x:c r="C34" s="22" t="n">
        <x:v>2025</x:v>
      </x:c>
      <x:c r="D34" s="22" t="str">
        <x:v>ООО "УПРАВЛЯЮЩАЯ КОМПАНИЯ "СУШИВЕСЛА"</x:v>
      </x:c>
      <x:c r="E34" s="22" t="str">
        <x:v>3444210862</x:v>
      </x:c>
      <x:c r="F34" s="23" t="n">
        <x:v>166280</x:v>
      </x:c>
      <x:c r="G34" s="23" t="n">
        <x:v>166280</x:v>
      </x:c>
      <x:c r="H34" s="23" t="n">
        <x:v>7125</x:v>
      </x:c>
      <x:c r="I34" s="23" t="n">
        <x:v>0</x:v>
      </x:c>
      <x:c r="J34" s="22" t="str">
        <x:v>-</x:v>
      </x:c>
      <x:c r="K34" s="22" t="str">
        <x:v>2026-03-31</x:v>
      </x:c>
      <x:c r="L34" s="22" t="n">
        <x:v>29519626</x:v>
      </x:c>
      <x:c r="M34" s="22" t="str">
        <x:v>https://bo.nalog.gov.ru/organizations-card/3444210862</x:v>
      </x:c>
    </x:row>
    <x:row r="35">
      <x:c r="A35" s="22" t="n">
        <x:v>194</x:v>
      </x:c>
      <x:c r="B35" s="22" t="str">
        <x:v>Шашлычная</x:v>
      </x:c>
      <x:c r="C35" s="22" t="n">
        <x:v>2023</x:v>
      </x:c>
      <x:c r="D35" s="22" t="str">
        <x:v>ООО "ШАШЛЫЧНАЯ"</x:v>
      </x:c>
      <x:c r="E35" s="22" t="str">
        <x:v>2312321155</x:v>
      </x:c>
      <x:c r="F35" s="23" t="n">
        <x:v>24947</x:v>
      </x:c>
      <x:c r="G35" s="23" t="str">
        <x:v>-</x:v>
      </x:c>
      <x:c r="H35" s="23" t="n">
        <x:v>0</x:v>
      </x:c>
      <x:c r="I35" s="23" t="n">
        <x:v>6176</x:v>
      </x:c>
      <x:c r="J35" s="22" t="str">
        <x:v>-</x:v>
      </x:c>
      <x:c r="K35" s="22" t="str">
        <x:v>2024-04-01</x:v>
      </x:c>
      <x:c r="L35" s="22" t="n">
        <x:v>22194704</x:v>
      </x:c>
      <x:c r="M35" s="22" t="str">
        <x:v>https://bo.nalog.gov.ru/organizations-card/2312321155</x:v>
      </x:c>
    </x:row>
    <x:row r="36">
      <x:c r="A36" s="22" t="n">
        <x:v>194</x:v>
      </x:c>
      <x:c r="B36" s="22" t="str">
        <x:v>Шашлычная</x:v>
      </x:c>
      <x:c r="C36" s="22" t="n">
        <x:v>2024</x:v>
      </x:c>
      <x:c r="D36" s="22" t="str">
        <x:v>ООО "ШАШЛЫЧНАЯ"</x:v>
      </x:c>
      <x:c r="E36" s="22" t="str">
        <x:v>2312321155</x:v>
      </x:c>
      <x:c r="F36" s="23" t="n">
        <x:v>135922</x:v>
      </x:c>
      <x:c r="G36" s="23" t="str">
        <x:v>-</x:v>
      </x:c>
      <x:c r="H36" s="23" t="n">
        <x:v>6636</x:v>
      </x:c>
      <x:c r="I36" s="23" t="n">
        <x:v>0</x:v>
      </x:c>
      <x:c r="J36" s="22" t="str">
        <x:v>-</x:v>
      </x:c>
      <x:c r="K36" s="22" t="str">
        <x:v>2025-03-31</x:v>
      </x:c>
      <x:c r="L36" s="22" t="n">
        <x:v>25063215</x:v>
      </x:c>
      <x:c r="M36" s="22" t="str">
        <x:v>https://bo.nalog.gov.ru/organizations-card/2312321155</x:v>
      </x:c>
    </x:row>
    <x:row r="37">
      <x:c r="A37" s="22" t="n">
        <x:v>194</x:v>
      </x:c>
      <x:c r="B37" s="22" t="str">
        <x:v>Шашлычная</x:v>
      </x:c>
      <x:c r="C37" s="22" t="n">
        <x:v>2025</x:v>
      </x:c>
      <x:c r="D37" s="22" t="str">
        <x:v>ООО "ШАШЛЫЧНАЯ"</x:v>
      </x:c>
      <x:c r="E37" s="22" t="str">
        <x:v>2312321155</x:v>
      </x:c>
      <x:c r="F37" s="23" t="n">
        <x:v>140444</x:v>
      </x:c>
      <x:c r="G37" s="23" t="str">
        <x:v>-</x:v>
      </x:c>
      <x:c r="H37" s="23" t="n">
        <x:v>737</x:v>
      </x:c>
      <x:c r="I37" s="23" t="n">
        <x:v>0</x:v>
      </x:c>
      <x:c r="J37" s="22" t="str">
        <x:v>-</x:v>
      </x:c>
      <x:c r="K37" s="22" t="str">
        <x:v>2026-03-27</x:v>
      </x:c>
      <x:c r="L37" s="22" t="n">
        <x:v>28255465</x:v>
      </x:c>
      <x:c r="M37" s="22" t="str">
        <x:v>https://bo.nalog.gov.ru/organizations-card/2312321155</x:v>
      </x:c>
    </x:row>
    <x:row r="38">
      <x:c r="A38" s="22" t="n">
        <x:v>198</x:v>
      </x:c>
      <x:c r="B38" s="22" t="str">
        <x:v>Rostic's</x:v>
      </x:c>
      <x:c r="C38" s="22" t="n">
        <x:v>2023</x:v>
      </x:c>
      <x:c r="D38" s="22" t="str">
        <x:v>ООО "ЮНИРЕСТ"</x:v>
      </x:c>
      <x:c r="E38" s="22" t="str">
        <x:v>7722561551</x:v>
      </x:c>
      <x:c r="F38" s="23" t="n">
        <x:v>20168953</x:v>
      </x:c>
      <x:c r="G38" s="23" t="n">
        <x:v>14955521</x:v>
      </x:c>
      <x:c r="H38" s="23" t="n">
        <x:v>3539841</x:v>
      </x:c>
      <x:c r="I38" s="23" t="n">
        <x:v>0</x:v>
      </x:c>
      <x:c r="J38" s="22" t="str">
        <x:v>-</x:v>
      </x:c>
      <x:c r="K38" s="22" t="str">
        <x:v>2024-05-29</x:v>
      </x:c>
      <x:c r="L38" s="22" t="n">
        <x:v>21767467</x:v>
      </x:c>
      <x:c r="M38" s="22" t="str">
        <x:v>https://bo.nalog.gov.ru/organizations-card/7722561551</x:v>
      </x:c>
    </x:row>
    <x:row r="39">
      <x:c r="A39" s="22" t="n">
        <x:v>198</x:v>
      </x:c>
      <x:c r="B39" s="22" t="str">
        <x:v>Rostic's</x:v>
      </x:c>
      <x:c r="C39" s="22" t="n">
        <x:v>2024</x:v>
      </x:c>
      <x:c r="D39" s="22" t="str">
        <x:v>ООО "ЮНИРЕСТ"</x:v>
      </x:c>
      <x:c r="E39" s="22" t="str">
        <x:v>7722561551</x:v>
      </x:c>
      <x:c r="F39" s="23" t="n">
        <x:v>25930672</x:v>
      </x:c>
      <x:c r="G39" s="23" t="n">
        <x:v>20142693</x:v>
      </x:c>
      <x:c r="H39" s="23" t="n">
        <x:v>5678938</x:v>
      </x:c>
      <x:c r="I39" s="23" t="n">
        <x:v>0</x:v>
      </x:c>
      <x:c r="J39" s="22" t="str">
        <x:v>-</x:v>
      </x:c>
      <x:c r="K39" s="22" t="str">
        <x:v>2025-05-23</x:v>
      </x:c>
      <x:c r="L39" s="22" t="n">
        <x:v>24845279</x:v>
      </x:c>
      <x:c r="M39" s="22" t="str">
        <x:v>https://bo.nalog.gov.ru/organizations-card/7722561551</x:v>
      </x:c>
    </x:row>
    <x:row r="40">
      <x:c r="A40" s="22" t="n">
        <x:v>198</x:v>
      </x:c>
      <x:c r="B40" s="22" t="str">
        <x:v>Rostic's</x:v>
      </x:c>
      <x:c r="C40" s="22" t="n">
        <x:v>2025</x:v>
      </x:c>
      <x:c r="D40" s="22" t="str">
        <x:v>ООО "ЮНИРЕСТ"</x:v>
      </x:c>
      <x:c r="E40" s="22" t="str">
        <x:v>7722561551</x:v>
      </x:c>
      <x:c r="F40" s="23" t="n">
        <x:v>30813210</x:v>
      </x:c>
      <x:c r="G40" s="23" t="n">
        <x:v>24240245</x:v>
      </x:c>
      <x:c r="H40" s="23" t="n">
        <x:v>4115411</x:v>
      </x:c>
      <x:c r="I40" s="23" t="n">
        <x:v>0</x:v>
      </x:c>
      <x:c r="J40" s="22" t="str">
        <x:v>-</x:v>
      </x:c>
      <x:c r="K40" s="22" t="str">
        <x:v>2026-04-30</x:v>
      </x:c>
      <x:c r="L40" s="22" t="n">
        <x:v>29314320</x:v>
      </x:c>
      <x:c r="M40" s="22" t="str">
        <x:v>https://bo.nalog.gov.ru/organizations-card/7722561551</x:v>
      </x:c>
    </x:row>
    <x:row r="41">
      <x:c r="A41" s="22" t="n">
        <x:v>204</x:v>
      </x:c>
      <x:c r="B41" s="22" t="str">
        <x:v>Маленькая Азия</x:v>
      </x:c>
      <x:c r="C41" s="22" t="n">
        <x:v>2023</x:v>
      </x:c>
      <x:c r="D41" s="22" t="str">
        <x:v>ООО "МАЛЕНЬКАЯ АЗИЯ"</x:v>
      </x:c>
      <x:c r="E41" s="22" t="str">
        <x:v>4909126110</x:v>
      </x:c>
      <x:c r="F41" s="23" t="n">
        <x:v>22401</x:v>
      </x:c>
      <x:c r="G41" s="23" t="str">
        <x:v>-</x:v>
      </x:c>
      <x:c r="H41" s="23" t="n">
        <x:v>600</x:v>
      </x:c>
      <x:c r="I41" s="23" t="n">
        <x:v>0</x:v>
      </x:c>
      <x:c r="J41" s="22" t="str">
        <x:v>-</x:v>
      </x:c>
      <x:c r="K41" s="22" t="str">
        <x:v>2024-03-27</x:v>
      </x:c>
      <x:c r="L41" s="22" t="n">
        <x:v>21519782</x:v>
      </x:c>
      <x:c r="M41" s="22" t="str">
        <x:v>https://bo.nalog.gov.ru/organizations-card/4909126110</x:v>
      </x:c>
    </x:row>
    <x:row r="42">
      <x:c r="A42" s="22" t="n">
        <x:v>204</x:v>
      </x:c>
      <x:c r="B42" s="22" t="str">
        <x:v>Маленькая Азия</x:v>
      </x:c>
      <x:c r="C42" s="22" t="n">
        <x:v>2024</x:v>
      </x:c>
      <x:c r="D42" s="22" t="str">
        <x:v>ООО "МАЛЕНЬКАЯ АЗИЯ"</x:v>
      </x:c>
      <x:c r="E42" s="22" t="str">
        <x:v>4909126110</x:v>
      </x:c>
      <x:c r="F42" s="23" t="n">
        <x:v>9774</x:v>
      </x:c>
      <x:c r="G42" s="23" t="str">
        <x:v>-</x:v>
      </x:c>
      <x:c r="H42" s="23" t="n">
        <x:v>481</x:v>
      </x:c>
      <x:c r="I42" s="23" t="n">
        <x:v>0</x:v>
      </x:c>
      <x:c r="J42" s="22" t="str">
        <x:v>-</x:v>
      </x:c>
      <x:c r="K42" s="22" t="str">
        <x:v>2025-02-04</x:v>
      </x:c>
      <x:c r="L42" s="22" t="n">
        <x:v>22819614</x:v>
      </x:c>
      <x:c r="M42" s="22" t="str">
        <x:v>https://bo.nalog.gov.ru/organizations-card/4909126110</x:v>
      </x:c>
    </x:row>
    <x:row r="43">
      <x:c r="A43" s="22" t="n">
        <x:v>204</x:v>
      </x:c>
      <x:c r="B43" s="22" t="str">
        <x:v>Маленькая Азия</x:v>
      </x:c>
      <x:c r="C43" s="22" t="n">
        <x:v>2025</x:v>
      </x:c>
      <x:c r="D43" s="22" t="str">
        <x:v>ООО "МАЛЕНЬКАЯ АЗИЯ"</x:v>
      </x:c>
      <x:c r="E43" s="22" t="str">
        <x:v>4909126110</x:v>
      </x:c>
      <x:c r="F43" s="23" t="str">
        <x:v>-</x:v>
      </x:c>
      <x:c r="G43" s="23" t="str">
        <x:v>-</x:v>
      </x:c>
      <x:c r="H43" s="23" t="str">
        <x:v>-</x:v>
      </x:c>
      <x:c r="I43" s="23" t="str">
        <x:v>-</x:v>
      </x:c>
      <x:c r="J43" s="22" t="str">
        <x:v>-</x:v>
      </x:c>
      <x:c r="K43" s="22" t="str">
        <x:v>-</x:v>
      </x:c>
      <x:c r="L43" s="22" t="str">
        <x:v>-</x:v>
      </x:c>
      <x:c r="M43" s="22" t="str">
        <x:v>-</x:v>
      </x:c>
    </x:row>
    <x:row r="44">
      <x:c r="A44" s="22" t="n">
        <x:v>208</x:v>
      </x:c>
      <x:c r="B44" s="22" t="str">
        <x:v>Шаурма Дубай</x:v>
      </x:c>
      <x:c r="C44" s="22" t="n">
        <x:v>2023</x:v>
      </x:c>
      <x:c r="D44" s="22" t="str">
        <x:v>ООО "ДУБАЙ"</x:v>
      </x:c>
      <x:c r="E44" s="22" t="str">
        <x:v>2320250638</x:v>
      </x:c>
      <x:c r="F44" s="23" t="n">
        <x:v>18792</x:v>
      </x:c>
      <x:c r="G44" s="23" t="str">
        <x:v>-</x:v>
      </x:c>
      <x:c r="H44" s="23" t="n">
        <x:v>336</x:v>
      </x:c>
      <x:c r="I44" s="23" t="n">
        <x:v>0</x:v>
      </x:c>
      <x:c r="J44" s="22" t="str">
        <x:v>-</x:v>
      </x:c>
      <x:c r="K44" s="22" t="str">
        <x:v>2024-03-22</x:v>
      </x:c>
      <x:c r="L44" s="22" t="n">
        <x:v>21172299</x:v>
      </x:c>
      <x:c r="M44" s="22" t="str">
        <x:v>https://bo.nalog.gov.ru/organizations-card/2320250638</x:v>
      </x:c>
    </x:row>
    <x:row r="45">
      <x:c r="A45" s="22" t="n">
        <x:v>208</x:v>
      </x:c>
      <x:c r="B45" s="22" t="str">
        <x:v>Шаурма Дубай</x:v>
      </x:c>
      <x:c r="C45" s="22" t="n">
        <x:v>2024</x:v>
      </x:c>
      <x:c r="D45" s="22" t="str">
        <x:v>ООО "ДУБАЙ"</x:v>
      </x:c>
      <x:c r="E45" s="22" t="str">
        <x:v>2320250638</x:v>
      </x:c>
      <x:c r="F45" s="23" t="n">
        <x:v>20280</x:v>
      </x:c>
      <x:c r="G45" s="23" t="str">
        <x:v>-</x:v>
      </x:c>
      <x:c r="H45" s="23" t="n">
        <x:v>189</x:v>
      </x:c>
      <x:c r="I45" s="23" t="n">
        <x:v>0</x:v>
      </x:c>
      <x:c r="J45" s="22" t="str">
        <x:v>-</x:v>
      </x:c>
      <x:c r="K45" s="22" t="str">
        <x:v>2025-03-10</x:v>
      </x:c>
      <x:c r="L45" s="22" t="n">
        <x:v>23490208</x:v>
      </x:c>
      <x:c r="M45" s="22" t="str">
        <x:v>https://bo.nalog.gov.ru/organizations-card/2320250638</x:v>
      </x:c>
    </x:row>
    <x:row r="46">
      <x:c r="A46" s="22" t="n">
        <x:v>208</x:v>
      </x:c>
      <x:c r="B46" s="22" t="str">
        <x:v>Шаурма Дубай</x:v>
      </x:c>
      <x:c r="C46" s="22" t="n">
        <x:v>2025</x:v>
      </x:c>
      <x:c r="D46" s="22" t="str">
        <x:v>ООО "ДУБАЙ"</x:v>
      </x:c>
      <x:c r="E46" s="22" t="str">
        <x:v>2320250638</x:v>
      </x:c>
      <x:c r="F46" s="23" t="n">
        <x:v>19983</x:v>
      </x:c>
      <x:c r="G46" s="23" t="str">
        <x:v>-</x:v>
      </x:c>
      <x:c r="H46" s="23" t="n">
        <x:v>490</x:v>
      </x:c>
      <x:c r="I46" s="23" t="n">
        <x:v>0</x:v>
      </x:c>
      <x:c r="J46" s="22" t="str">
        <x:v>-</x:v>
      </x:c>
      <x:c r="K46" s="22" t="str">
        <x:v>2026-03-24</x:v>
      </x:c>
      <x:c r="L46" s="22" t="n">
        <x:v>27737787</x:v>
      </x:c>
      <x:c r="M46" s="22" t="str">
        <x:v>https://bo.nalog.gov.ru/organizations-card/2320250638</x:v>
      </x:c>
    </x:row>
    <x:row r="47">
      <x:c r="A47" s="22" t="n">
        <x:v>209</x:v>
      </x:c>
      <x:c r="B47" s="22" t="str">
        <x:v>Искусство и Кофе</x:v>
      </x:c>
      <x:c r="C47" s="22" t="n">
        <x:v>2023</x:v>
      </x:c>
      <x:c r="D47" s="22" t="str">
        <x:v>ООО "ИСКУССТВО"</x:v>
      </x:c>
      <x:c r="E47" s="22" t="str">
        <x:v>0278981187</x:v>
      </x:c>
      <x:c r="F47" s="23" t="str">
        <x:v>-</x:v>
      </x:c>
      <x:c r="G47" s="23" t="str">
        <x:v>-</x:v>
      </x:c>
      <x:c r="H47" s="23" t="str">
        <x:v>-</x:v>
      </x:c>
      <x:c r="I47" s="23" t="str">
        <x:v>-</x:v>
      </x:c>
      <x:c r="J47" s="22" t="str">
        <x:v>-</x:v>
      </x:c>
      <x:c r="K47" s="22" t="str">
        <x:v>-</x:v>
      </x:c>
      <x:c r="L47" s="22" t="str">
        <x:v>-</x:v>
      </x:c>
      <x:c r="M47" s="22" t="str">
        <x:v>-</x:v>
      </x:c>
    </x:row>
    <x:row r="48">
      <x:c r="A48" s="22" t="n">
        <x:v>209</x:v>
      </x:c>
      <x:c r="B48" s="22" t="str">
        <x:v>Искусство и Кофе</x:v>
      </x:c>
      <x:c r="C48" s="22" t="n">
        <x:v>2024</x:v>
      </x:c>
      <x:c r="D48" s="22" t="str">
        <x:v>ООО "ИСКУССТВО"</x:v>
      </x:c>
      <x:c r="E48" s="22" t="str">
        <x:v>0278981187</x:v>
      </x:c>
      <x:c r="F48" s="23" t="n">
        <x:v>14477</x:v>
      </x:c>
      <x:c r="G48" s="23" t="str">
        <x:v>-</x:v>
      </x:c>
      <x:c r="H48" s="23" t="n">
        <x:v>506</x:v>
      </x:c>
      <x:c r="I48" s="23" t="n">
        <x:v>0</x:v>
      </x:c>
      <x:c r="J48" s="22" t="str">
        <x:v>-</x:v>
      </x:c>
      <x:c r="K48" s="22" t="str">
        <x:v>2025-03-24</x:v>
      </x:c>
      <x:c r="L48" s="22" t="n">
        <x:v>24157945</x:v>
      </x:c>
      <x:c r="M48" s="22" t="str">
        <x:v>https://bo.nalog.gov.ru/organizations-card/0278981187</x:v>
      </x:c>
    </x:row>
    <x:row r="49">
      <x:c r="A49" s="22" t="n">
        <x:v>209</x:v>
      </x:c>
      <x:c r="B49" s="22" t="str">
        <x:v>Искусство и Кофе</x:v>
      </x:c>
      <x:c r="C49" s="22" t="n">
        <x:v>2025</x:v>
      </x:c>
      <x:c r="D49" s="22" t="str">
        <x:v>ООО "ИСКУССТВО"</x:v>
      </x:c>
      <x:c r="E49" s="22" t="str">
        <x:v>0278981187</x:v>
      </x:c>
      <x:c r="F49" s="23" t="n">
        <x:v>30944</x:v>
      </x:c>
      <x:c r="G49" s="23" t="str">
        <x:v>-</x:v>
      </x:c>
      <x:c r="H49" s="23" t="n">
        <x:v>5156</x:v>
      </x:c>
      <x:c r="I49" s="23" t="n">
        <x:v>0</x:v>
      </x:c>
      <x:c r="J49" s="22" t="str">
        <x:v>-</x:v>
      </x:c>
      <x:c r="K49" s="22" t="str">
        <x:v>2026-04-22</x:v>
      </x:c>
      <x:c r="L49" s="22" t="n">
        <x:v>30192332</x:v>
      </x:c>
      <x:c r="M49" s="22" t="str">
        <x:v>https://bo.nalog.gov.ru/organizations-card/0278981187</x:v>
      </x:c>
    </x:row>
    <x:row r="50">
      <x:c r="A50" s="22" t="n">
        <x:v>214</x:v>
      </x:c>
      <x:c r="B50" s="22" t="str">
        <x:v>ПроСуши</x:v>
      </x:c>
      <x:c r="C50" s="22" t="n">
        <x:v>2023</x:v>
      </x:c>
      <x:c r="D50" s="22" t="str">
        <x:v>ООО "ПРОСУШИ М"</x:v>
      </x:c>
      <x:c r="E50" s="22" t="str">
        <x:v>7717289460</x:v>
      </x:c>
      <x:c r="F50" s="23" t="n">
        <x:v>43738</x:v>
      </x:c>
      <x:c r="G50" s="23" t="str">
        <x:v>-</x:v>
      </x:c>
      <x:c r="H50" s="23" t="n">
        <x:v>0</x:v>
      </x:c>
      <x:c r="I50" s="23" t="n">
        <x:v>1295</x:v>
      </x:c>
      <x:c r="J50" s="22" t="str">
        <x:v>-</x:v>
      </x:c>
      <x:c r="K50" s="22" t="str">
        <x:v>2024-04-01</x:v>
      </x:c>
      <x:c r="L50" s="22" t="n">
        <x:v>22414751</x:v>
      </x:c>
      <x:c r="M50" s="22" t="str">
        <x:v>https://bo.nalog.gov.ru/organizations-card/7717289460</x:v>
      </x:c>
    </x:row>
    <x:row r="51">
      <x:c r="A51" s="22" t="n">
        <x:v>214</x:v>
      </x:c>
      <x:c r="B51" s="22" t="str">
        <x:v>ПроСуши</x:v>
      </x:c>
      <x:c r="C51" s="22" t="n">
        <x:v>2024</x:v>
      </x:c>
      <x:c r="D51" s="22" t="str">
        <x:v>ООО "ПРОСУШИ М"</x:v>
      </x:c>
      <x:c r="E51" s="22" t="str">
        <x:v>7717289460</x:v>
      </x:c>
      <x:c r="F51" s="23" t="n">
        <x:v>824</x:v>
      </x:c>
      <x:c r="G51" s="23" t="str">
        <x:v>-</x:v>
      </x:c>
      <x:c r="H51" s="23" t="n">
        <x:v>0</x:v>
      </x:c>
      <x:c r="I51" s="23" t="n">
        <x:v>2707</x:v>
      </x:c>
      <x:c r="J51" s="22" t="str">
        <x:v>-</x:v>
      </x:c>
      <x:c r="K51" s="22" t="str">
        <x:v>2025-03-28</x:v>
      </x:c>
      <x:c r="L51" s="22" t="n">
        <x:v>24622731</x:v>
      </x:c>
      <x:c r="M51" s="22" t="str">
        <x:v>https://bo.nalog.gov.ru/organizations-card/7717289460</x:v>
      </x:c>
    </x:row>
    <x:row r="52">
      <x:c r="A52" s="22" t="n">
        <x:v>214</x:v>
      </x:c>
      <x:c r="B52" s="22" t="str">
        <x:v>ПроСуши</x:v>
      </x:c>
      <x:c r="C52" s="22" t="n">
        <x:v>2025</x:v>
      </x:c>
      <x:c r="D52" s="22" t="str">
        <x:v>ООО "ПРОСУШИ М"</x:v>
      </x:c>
      <x:c r="E52" s="22" t="str">
        <x:v>7717289460</x:v>
      </x:c>
      <x:c r="F52" s="23" t="n">
        <x:v>1922</x:v>
      </x:c>
      <x:c r="G52" s="23" t="str">
        <x:v>-</x:v>
      </x:c>
      <x:c r="H52" s="23" t="n">
        <x:v>0</x:v>
      </x:c>
      <x:c r="I52" s="23" t="n">
        <x:v>665</x:v>
      </x:c>
      <x:c r="J52" s="22" t="str">
        <x:v>-</x:v>
      </x:c>
      <x:c r="K52" s="22" t="str">
        <x:v>2026-03-31</x:v>
      </x:c>
      <x:c r="L52" s="22" t="n">
        <x:v>29997315</x:v>
      </x:c>
      <x:c r="M52" s="22" t="str">
        <x:v>https://bo.nalog.gov.ru/organizations-card/7717289460</x:v>
      </x:c>
    </x:row>
    <x:row r="53">
      <x:c r="A53" s="22" t="n">
        <x:v>216</x:v>
      </x:c>
      <x:c r="B53" s="22" t="str">
        <x:v>Лейка&amp;Кофейка</x:v>
      </x:c>
      <x:c r="C53" s="22" t="n">
        <x:v>2023</x:v>
      </x:c>
      <x:c r="D53" s="22" t="str">
        <x:v>ООО "КОФЕЙКА"</x:v>
      </x:c>
      <x:c r="E53" s="22" t="str">
        <x:v>7743052121</x:v>
      </x:c>
      <x:c r="F53" s="23" t="n">
        <x:v>81759</x:v>
      </x:c>
      <x:c r="G53" s="23" t="str">
        <x:v>-</x:v>
      </x:c>
      <x:c r="H53" s="23" t="n">
        <x:v>2117</x:v>
      </x:c>
      <x:c r="I53" s="23" t="n">
        <x:v>0</x:v>
      </x:c>
      <x:c r="J53" s="22" t="str">
        <x:v>-</x:v>
      </x:c>
      <x:c r="K53" s="22" t="str">
        <x:v>2024-03-18</x:v>
      </x:c>
      <x:c r="L53" s="22" t="n">
        <x:v>20895152</x:v>
      </x:c>
      <x:c r="M53" s="22" t="str">
        <x:v>https://bo.nalog.gov.ru/organizations-card/7743052121</x:v>
      </x:c>
    </x:row>
    <x:row r="54">
      <x:c r="A54" s="22" t="n">
        <x:v>216</x:v>
      </x:c>
      <x:c r="B54" s="22" t="str">
        <x:v>Лейка&amp;Кофейка</x:v>
      </x:c>
      <x:c r="C54" s="22" t="n">
        <x:v>2024</x:v>
      </x:c>
      <x:c r="D54" s="22" t="str">
        <x:v>ООО "КОФЕЙКА"</x:v>
      </x:c>
      <x:c r="E54" s="22" t="str">
        <x:v>7743052121</x:v>
      </x:c>
      <x:c r="F54" s="23" t="n">
        <x:v>87683</x:v>
      </x:c>
      <x:c r="G54" s="23" t="str">
        <x:v>-</x:v>
      </x:c>
      <x:c r="H54" s="23" t="n">
        <x:v>17949</x:v>
      </x:c>
      <x:c r="I54" s="23" t="n">
        <x:v>0</x:v>
      </x:c>
      <x:c r="J54" s="22" t="str">
        <x:v>-</x:v>
      </x:c>
      <x:c r="K54" s="22" t="str">
        <x:v>2025-03-23</x:v>
      </x:c>
      <x:c r="L54" s="22" t="n">
        <x:v>24045842</x:v>
      </x:c>
      <x:c r="M54" s="22" t="str">
        <x:v>https://bo.nalog.gov.ru/organizations-card/7743052121</x:v>
      </x:c>
    </x:row>
    <x:row r="55">
      <x:c r="A55" s="22" t="n">
        <x:v>216</x:v>
      </x:c>
      <x:c r="B55" s="22" t="str">
        <x:v>Лейка&amp;Кофейка</x:v>
      </x:c>
      <x:c r="C55" s="22" t="n">
        <x:v>2025</x:v>
      </x:c>
      <x:c r="D55" s="22" t="str">
        <x:v>ООО "КОФЕЙКА"</x:v>
      </x:c>
      <x:c r="E55" s="22" t="str">
        <x:v>7743052121</x:v>
      </x:c>
      <x:c r="F55" s="23" t="n">
        <x:v>91579</x:v>
      </x:c>
      <x:c r="G55" s="23" t="str">
        <x:v>-</x:v>
      </x:c>
      <x:c r="H55" s="23" t="n">
        <x:v>1559</x:v>
      </x:c>
      <x:c r="I55" s="23" t="n">
        <x:v>0</x:v>
      </x:c>
      <x:c r="J55" s="22" t="str">
        <x:v>-</x:v>
      </x:c>
      <x:c r="K55" s="22" t="str">
        <x:v>2026-03-30</x:v>
      </x:c>
      <x:c r="L55" s="22" t="n">
        <x:v>28702269</x:v>
      </x:c>
      <x:c r="M55" s="22" t="str">
        <x:v>https://bo.nalog.gov.ru/organizations-card/7743052121</x:v>
      </x:c>
    </x:row>
    <x:row r="56">
      <x:c r="A56" s="22" t="n">
        <x:v>217</x:v>
      </x:c>
      <x:c r="B56" s="22" t="str">
        <x:v>Баблс</x:v>
      </x:c>
      <x:c r="C56" s="22" t="n">
        <x:v>2023</x:v>
      </x:c>
      <x:c r="D56" s="22" t="str">
        <x:v>ООО "БАБЛС"</x:v>
      </x:c>
      <x:c r="E56" s="22" t="str">
        <x:v>2721254750</x:v>
      </x:c>
      <x:c r="F56" s="23" t="n">
        <x:v>4663</x:v>
      </x:c>
      <x:c r="G56" s="23" t="str">
        <x:v>-</x:v>
      </x:c>
      <x:c r="H56" s="23" t="n">
        <x:v>82</x:v>
      </x:c>
      <x:c r="I56" s="23" t="n">
        <x:v>0</x:v>
      </x:c>
      <x:c r="J56" s="22" t="str">
        <x:v>-</x:v>
      </x:c>
      <x:c r="K56" s="22" t="str">
        <x:v>2024-04-01</x:v>
      </x:c>
      <x:c r="L56" s="22" t="n">
        <x:v>22124213</x:v>
      </x:c>
      <x:c r="M56" s="22" t="str">
        <x:v>https://bo.nalog.gov.ru/organizations-card/2721254750</x:v>
      </x:c>
    </x:row>
    <x:row r="57">
      <x:c r="A57" s="22" t="n">
        <x:v>217</x:v>
      </x:c>
      <x:c r="B57" s="22" t="str">
        <x:v>Баблс</x:v>
      </x:c>
      <x:c r="C57" s="22" t="n">
        <x:v>2024</x:v>
      </x:c>
      <x:c r="D57" s="22" t="str">
        <x:v>ООО "БАБЛС"</x:v>
      </x:c>
      <x:c r="E57" s="22" t="str">
        <x:v>2721254750</x:v>
      </x:c>
      <x:c r="F57" s="23" t="str">
        <x:v>-</x:v>
      </x:c>
      <x:c r="G57" s="23" t="str">
        <x:v>-</x:v>
      </x:c>
      <x:c r="H57" s="23" t="str">
        <x:v>-</x:v>
      </x:c>
      <x:c r="I57" s="23" t="str">
        <x:v>-</x:v>
      </x:c>
      <x:c r="J57" s="22" t="str">
        <x:v>-</x:v>
      </x:c>
      <x:c r="K57" s="22" t="str">
        <x:v>-</x:v>
      </x:c>
      <x:c r="L57" s="22" t="str">
        <x:v>-</x:v>
      </x:c>
      <x:c r="M57" s="22" t="str">
        <x:v>-</x:v>
      </x:c>
    </x:row>
    <x:row r="58">
      <x:c r="A58" s="22" t="n">
        <x:v>217</x:v>
      </x:c>
      <x:c r="B58" s="22" t="str">
        <x:v>Баблс</x:v>
      </x:c>
      <x:c r="C58" s="22" t="n">
        <x:v>2025</x:v>
      </x:c>
      <x:c r="D58" s="22" t="str">
        <x:v>ООО "БАБЛС"</x:v>
      </x:c>
      <x:c r="E58" s="22" t="str">
        <x:v>2721254750</x:v>
      </x:c>
      <x:c r="F58" s="23" t="str">
        <x:v>-</x:v>
      </x:c>
      <x:c r="G58" s="23" t="str">
        <x:v>-</x:v>
      </x:c>
      <x:c r="H58" s="23" t="str">
        <x:v>-</x:v>
      </x:c>
      <x:c r="I58" s="23" t="str">
        <x:v>-</x:v>
      </x:c>
      <x:c r="J58" s="22" t="str">
        <x:v>-</x:v>
      </x:c>
      <x:c r="K58" s="22" t="str">
        <x:v>2026-02-05</x:v>
      </x:c>
      <x:c r="L58" s="22" t="n">
        <x:v>25952957</x:v>
      </x:c>
      <x:c r="M58" s="22" t="str">
        <x:v>https://bo.nalog.gov.ru/organizations-card/2721254750</x:v>
      </x:c>
    </x:row>
    <x:row r="59">
      <x:c r="A59" s="22" t="n">
        <x:v>220</x:v>
      </x:c>
      <x:c r="B59" s="22" t="str">
        <x:v>The Кухня</x:v>
      </x:c>
      <x:c r="C59" s="22" t="n">
        <x:v>2023</x:v>
      </x:c>
      <x:c r="D59" s="22" t="str">
        <x:v>ООО "КУХНЯ"</x:v>
      </x:c>
      <x:c r="E59" s="22" t="str">
        <x:v>7813671262</x:v>
      </x:c>
      <x:c r="F59" s="23" t="n">
        <x:v>3179</x:v>
      </x:c>
      <x:c r="G59" s="23" t="str">
        <x:v>-</x:v>
      </x:c>
      <x:c r="H59" s="23" t="n">
        <x:v>0</x:v>
      </x:c>
      <x:c r="I59" s="23" t="n">
        <x:v>0</x:v>
      </x:c>
      <x:c r="J59" s="22" t="str">
        <x:v>-</x:v>
      </x:c>
      <x:c r="K59" s="22" t="str">
        <x:v>2024-02-15</x:v>
      </x:c>
      <x:c r="L59" s="22" t="n">
        <x:v>20315445</x:v>
      </x:c>
      <x:c r="M59" s="22" t="str">
        <x:v>https://bo.nalog.gov.ru/organizations-card/7813671262</x:v>
      </x:c>
    </x:row>
    <x:row r="60">
      <x:c r="A60" s="22" t="n">
        <x:v>220</x:v>
      </x:c>
      <x:c r="B60" s="22" t="str">
        <x:v>The Кухня</x:v>
      </x:c>
      <x:c r="C60" s="22" t="n">
        <x:v>2024</x:v>
      </x:c>
      <x:c r="D60" s="22" t="str">
        <x:v>ООО "КУХНЯ"</x:v>
      </x:c>
      <x:c r="E60" s="22" t="str">
        <x:v>7813671262</x:v>
      </x:c>
      <x:c r="F60" s="23" t="n">
        <x:v>39878</x:v>
      </x:c>
      <x:c r="G60" s="23" t="str">
        <x:v>-</x:v>
      </x:c>
      <x:c r="H60" s="23" t="n">
        <x:v>80</x:v>
      </x:c>
      <x:c r="I60" s="23" t="n">
        <x:v>0</x:v>
      </x:c>
      <x:c r="J60" s="22" t="str">
        <x:v>-</x:v>
      </x:c>
      <x:c r="K60" s="22" t="str">
        <x:v>2025-03-18</x:v>
      </x:c>
      <x:c r="L60" s="22" t="n">
        <x:v>23742470</x:v>
      </x:c>
      <x:c r="M60" s="22" t="str">
        <x:v>https://bo.nalog.gov.ru/organizations-card/7813671262</x:v>
      </x:c>
    </x:row>
    <x:row r="61">
      <x:c r="A61" s="22" t="n">
        <x:v>220</x:v>
      </x:c>
      <x:c r="B61" s="22" t="str">
        <x:v>The Кухня</x:v>
      </x:c>
      <x:c r="C61" s="22" t="n">
        <x:v>2025</x:v>
      </x:c>
      <x:c r="D61" s="22" t="str">
        <x:v>ООО "КУХНЯ"</x:v>
      </x:c>
      <x:c r="E61" s="22" t="str">
        <x:v>7813671262</x:v>
      </x:c>
      <x:c r="F61" s="23" t="n">
        <x:v>43791</x:v>
      </x:c>
      <x:c r="G61" s="23" t="str">
        <x:v>-</x:v>
      </x:c>
      <x:c r="H61" s="23" t="n">
        <x:v>0</x:v>
      </x:c>
      <x:c r="I61" s="23" t="n">
        <x:v>101</x:v>
      </x:c>
      <x:c r="J61" s="22" t="str">
        <x:v>-</x:v>
      </x:c>
      <x:c r="K61" s="22" t="str">
        <x:v>2026-03-12</x:v>
      </x:c>
      <x:c r="L61" s="22" t="n">
        <x:v>26747150</x:v>
      </x:c>
      <x:c r="M61" s="22" t="str">
        <x:v>https://bo.nalog.gov.ru/organizations-card/7813671262</x:v>
      </x:c>
    </x:row>
    <x:row r="62">
      <x:c r="A62" s="22" t="n">
        <x:v>222</x:v>
      </x:c>
      <x:c r="B62" s="22" t="str">
        <x:v>Вкусно — и точка</x:v>
      </x:c>
      <x:c r="C62" s="22" t="n">
        <x:v>2023</x:v>
      </x:c>
      <x:c r="D62" s="22" t="str">
        <x:v>ООО "СИСТЕМА ПБО"</x:v>
      </x:c>
      <x:c r="E62" s="22" t="str">
        <x:v>7710044140</x:v>
      </x:c>
      <x:c r="F62" s="23" t="n">
        <x:v>155745210</x:v>
      </x:c>
      <x:c r="G62" s="23" t="n">
        <x:v>27475435</x:v>
      </x:c>
      <x:c r="H62" s="23" t="n">
        <x:v>14174325</x:v>
      </x:c>
      <x:c r="I62" s="23" t="n">
        <x:v>0</x:v>
      </x:c>
      <x:c r="J62" s="22" t="str">
        <x:v>-</x:v>
      </x:c>
      <x:c r="K62" s="22" t="str">
        <x:v>2024-03-15</x:v>
      </x:c>
      <x:c r="L62" s="22" t="n">
        <x:v>20812924</x:v>
      </x:c>
      <x:c r="M62" s="22" t="str">
        <x:v>https://bo.nalog.gov.ru/organizations-card/7710044140</x:v>
      </x:c>
    </x:row>
    <x:row r="63">
      <x:c r="A63" s="22" t="n">
        <x:v>222</x:v>
      </x:c>
      <x:c r="B63" s="22" t="str">
        <x:v>Вкусно — и точка</x:v>
      </x:c>
      <x:c r="C63" s="22" t="n">
        <x:v>2024</x:v>
      </x:c>
      <x:c r="D63" s="22" t="str">
        <x:v>ООО "СИСТЕМА ПБО"</x:v>
      </x:c>
      <x:c r="E63" s="22" t="str">
        <x:v>7710044140</x:v>
      </x:c>
      <x:c r="F63" s="23" t="n">
        <x:v>187357965</x:v>
      </x:c>
      <x:c r="G63" s="23" t="n">
        <x:v>35440526</x:v>
      </x:c>
      <x:c r="H63" s="23" t="n">
        <x:v>16959735</x:v>
      </x:c>
      <x:c r="I63" s="23" t="n">
        <x:v>0</x:v>
      </x:c>
      <x:c r="J63" s="22" t="str">
        <x:v>-</x:v>
      </x:c>
      <x:c r="K63" s="22" t="str">
        <x:v>2025-03-28</x:v>
      </x:c>
      <x:c r="L63" s="22" t="n">
        <x:v>24648516</x:v>
      </x:c>
      <x:c r="M63" s="22" t="str">
        <x:v>https://bo.nalog.gov.ru/organizations-card/7710044140</x:v>
      </x:c>
    </x:row>
    <x:row r="64">
      <x:c r="A64" s="22" t="n">
        <x:v>222</x:v>
      </x:c>
      <x:c r="B64" s="22" t="str">
        <x:v>Вкусно — и точка</x:v>
      </x:c>
      <x:c r="C64" s="22" t="n">
        <x:v>2025</x:v>
      </x:c>
      <x:c r="D64" s="22" t="str">
        <x:v>ООО "СИСТЕМА ПБО"</x:v>
      </x:c>
      <x:c r="E64" s="22" t="str">
        <x:v>7710044140</x:v>
      </x:c>
      <x:c r="F64" s="23" t="n">
        <x:v>218572895</x:v>
      </x:c>
      <x:c r="G64" s="23" t="n">
        <x:v>37855764</x:v>
      </x:c>
      <x:c r="H64" s="23" t="n">
        <x:v>14405355</x:v>
      </x:c>
      <x:c r="I64" s="23" t="n">
        <x:v>0</x:v>
      </x:c>
      <x:c r="J64" s="22" t="str">
        <x:v>-</x:v>
      </x:c>
      <x:c r="K64" s="22" t="str">
        <x:v>2026-03-27</x:v>
      </x:c>
      <x:c r="L64" s="22" t="n">
        <x:v>28271327</x:v>
      </x:c>
      <x:c r="M64" s="22" t="str">
        <x:v>https://bo.nalog.gov.ru/organizations-card/7710044140</x:v>
      </x:c>
    </x:row>
    <x:row r="65">
      <x:c r="A65" s="22" t="n">
        <x:v>223</x:v>
      </x:c>
      <x:c r="B65" s="22" t="str">
        <x:v>Rostic's</x:v>
      </x:c>
      <x:c r="C65" s="22" t="n">
        <x:v>2023</x:v>
      </x:c>
      <x:c r="D65" s="22" t="str">
        <x:v>ООО "ЮНИРЕСТ"</x:v>
      </x:c>
      <x:c r="E65" s="22" t="str">
        <x:v>7722561551</x:v>
      </x:c>
      <x:c r="F65" s="23" t="n">
        <x:v>20168953</x:v>
      </x:c>
      <x:c r="G65" s="23" t="n">
        <x:v>14955521</x:v>
      </x:c>
      <x:c r="H65" s="23" t="n">
        <x:v>3539841</x:v>
      </x:c>
      <x:c r="I65" s="23" t="n">
        <x:v>0</x:v>
      </x:c>
      <x:c r="J65" s="22" t="str">
        <x:v>-</x:v>
      </x:c>
      <x:c r="K65" s="22" t="str">
        <x:v>2024-05-29</x:v>
      </x:c>
      <x:c r="L65" s="22" t="n">
        <x:v>21767467</x:v>
      </x:c>
      <x:c r="M65" s="22" t="str">
        <x:v>https://bo.nalog.gov.ru/organizations-card/7722561551</x:v>
      </x:c>
    </x:row>
    <x:row r="66">
      <x:c r="A66" s="22" t="n">
        <x:v>223</x:v>
      </x:c>
      <x:c r="B66" s="22" t="str">
        <x:v>Rostic's</x:v>
      </x:c>
      <x:c r="C66" s="22" t="n">
        <x:v>2024</x:v>
      </x:c>
      <x:c r="D66" s="22" t="str">
        <x:v>ООО "ЮНИРЕСТ"</x:v>
      </x:c>
      <x:c r="E66" s="22" t="str">
        <x:v>7722561551</x:v>
      </x:c>
      <x:c r="F66" s="23" t="n">
        <x:v>25930672</x:v>
      </x:c>
      <x:c r="G66" s="23" t="n">
        <x:v>20142693</x:v>
      </x:c>
      <x:c r="H66" s="23" t="n">
        <x:v>5678938</x:v>
      </x:c>
      <x:c r="I66" s="23" t="n">
        <x:v>0</x:v>
      </x:c>
      <x:c r="J66" s="22" t="str">
        <x:v>-</x:v>
      </x:c>
      <x:c r="K66" s="22" t="str">
        <x:v>2025-05-23</x:v>
      </x:c>
      <x:c r="L66" s="22" t="n">
        <x:v>24845279</x:v>
      </x:c>
      <x:c r="M66" s="22" t="str">
        <x:v>https://bo.nalog.gov.ru/organizations-card/7722561551</x:v>
      </x:c>
    </x:row>
    <x:row r="67">
      <x:c r="A67" s="22" t="n">
        <x:v>223</x:v>
      </x:c>
      <x:c r="B67" s="22" t="str">
        <x:v>Rostic's</x:v>
      </x:c>
      <x:c r="C67" s="22" t="n">
        <x:v>2025</x:v>
      </x:c>
      <x:c r="D67" s="22" t="str">
        <x:v>ООО "ЮНИРЕСТ"</x:v>
      </x:c>
      <x:c r="E67" s="22" t="str">
        <x:v>7722561551</x:v>
      </x:c>
      <x:c r="F67" s="23" t="n">
        <x:v>30813210</x:v>
      </x:c>
      <x:c r="G67" s="23" t="n">
        <x:v>24240245</x:v>
      </x:c>
      <x:c r="H67" s="23" t="n">
        <x:v>4115411</x:v>
      </x:c>
      <x:c r="I67" s="23" t="n">
        <x:v>0</x:v>
      </x:c>
      <x:c r="J67" s="22" t="str">
        <x:v>-</x:v>
      </x:c>
      <x:c r="K67" s="22" t="str">
        <x:v>2026-04-30</x:v>
      </x:c>
      <x:c r="L67" s="22" t="n">
        <x:v>29314320</x:v>
      </x:c>
      <x:c r="M67" s="22" t="str">
        <x:v>https://bo.nalog.gov.ru/organizations-card/7722561551</x:v>
      </x:c>
    </x:row>
    <x:row r="68">
      <x:c r="A68" s="22" t="n">
        <x:v>224</x:v>
      </x:c>
      <x:c r="B68" s="22" t="str">
        <x:v>Rostic's</x:v>
      </x:c>
      <x:c r="C68" s="22" t="n">
        <x:v>2023</x:v>
      </x:c>
      <x:c r="D68" s="22" t="str">
        <x:v>ООО "ЮНИРЕСТ"</x:v>
      </x:c>
      <x:c r="E68" s="22" t="str">
        <x:v>7722561551</x:v>
      </x:c>
      <x:c r="F68" s="23" t="n">
        <x:v>20168953</x:v>
      </x:c>
      <x:c r="G68" s="23" t="n">
        <x:v>14955521</x:v>
      </x:c>
      <x:c r="H68" s="23" t="n">
        <x:v>3539841</x:v>
      </x:c>
      <x:c r="I68" s="23" t="n">
        <x:v>0</x:v>
      </x:c>
      <x:c r="J68" s="22" t="str">
        <x:v>-</x:v>
      </x:c>
      <x:c r="K68" s="22" t="str">
        <x:v>2024-05-29</x:v>
      </x:c>
      <x:c r="L68" s="22" t="n">
        <x:v>21767467</x:v>
      </x:c>
      <x:c r="M68" s="22" t="str">
        <x:v>https://bo.nalog.gov.ru/organizations-card/7722561551</x:v>
      </x:c>
    </x:row>
    <x:row r="69">
      <x:c r="A69" s="22" t="n">
        <x:v>224</x:v>
      </x:c>
      <x:c r="B69" s="22" t="str">
        <x:v>Rostic's</x:v>
      </x:c>
      <x:c r="C69" s="22" t="n">
        <x:v>2024</x:v>
      </x:c>
      <x:c r="D69" s="22" t="str">
        <x:v>ООО "ЮНИРЕСТ"</x:v>
      </x:c>
      <x:c r="E69" s="22" t="str">
        <x:v>7722561551</x:v>
      </x:c>
      <x:c r="F69" s="23" t="n">
        <x:v>25930672</x:v>
      </x:c>
      <x:c r="G69" s="23" t="n">
        <x:v>20142693</x:v>
      </x:c>
      <x:c r="H69" s="23" t="n">
        <x:v>5678938</x:v>
      </x:c>
      <x:c r="I69" s="23" t="n">
        <x:v>0</x:v>
      </x:c>
      <x:c r="J69" s="22" t="str">
        <x:v>-</x:v>
      </x:c>
      <x:c r="K69" s="22" t="str">
        <x:v>2025-05-23</x:v>
      </x:c>
      <x:c r="L69" s="22" t="n">
        <x:v>24845279</x:v>
      </x:c>
      <x:c r="M69" s="22" t="str">
        <x:v>https://bo.nalog.gov.ru/organizations-card/7722561551</x:v>
      </x:c>
    </x:row>
    <x:row r="70">
      <x:c r="A70" s="22" t="n">
        <x:v>224</x:v>
      </x:c>
      <x:c r="B70" s="22" t="str">
        <x:v>Rostic's</x:v>
      </x:c>
      <x:c r="C70" s="22" t="n">
        <x:v>2025</x:v>
      </x:c>
      <x:c r="D70" s="22" t="str">
        <x:v>ООО "ЮНИРЕСТ"</x:v>
      </x:c>
      <x:c r="E70" s="22" t="str">
        <x:v>7722561551</x:v>
      </x:c>
      <x:c r="F70" s="23" t="n">
        <x:v>30813210</x:v>
      </x:c>
      <x:c r="G70" s="23" t="n">
        <x:v>24240245</x:v>
      </x:c>
      <x:c r="H70" s="23" t="n">
        <x:v>4115411</x:v>
      </x:c>
      <x:c r="I70" s="23" t="n">
        <x:v>0</x:v>
      </x:c>
      <x:c r="J70" s="22" t="str">
        <x:v>-</x:v>
      </x:c>
      <x:c r="K70" s="22" t="str">
        <x:v>2026-04-30</x:v>
      </x:c>
      <x:c r="L70" s="22" t="n">
        <x:v>29314320</x:v>
      </x:c>
      <x:c r="M70" s="22" t="str">
        <x:v>https://bo.nalog.gov.ru/organizations-card/7722561551</x:v>
      </x:c>
    </x:row>
    <x:row r="71">
      <x:c r="A71" s="22" t="n">
        <x:v>225</x:v>
      </x:c>
      <x:c r="B71" s="22" t="str">
        <x:v>SBW х Subway</x:v>
      </x:c>
      <x:c r="C71" s="22" t="n">
        <x:v>2023</x:v>
      </x:c>
      <x:c r="D71" s="22" t="str">
        <x:v>ООО "ССК"</x:v>
      </x:c>
      <x:c r="E71" s="22" t="str">
        <x:v>7810476672</x:v>
      </x:c>
      <x:c r="F71" s="23" t="n">
        <x:v>75067</x:v>
      </x:c>
      <x:c r="G71" s="23" t="str">
        <x:v>-</x:v>
      </x:c>
      <x:c r="H71" s="23" t="n">
        <x:v>0</x:v>
      </x:c>
      <x:c r="I71" s="23" t="n">
        <x:v>13678</x:v>
      </x:c>
      <x:c r="J71" s="22" t="str">
        <x:v>-</x:v>
      </x:c>
      <x:c r="K71" s="22" t="str">
        <x:v>2024-03-24</x:v>
      </x:c>
      <x:c r="L71" s="22" t="n">
        <x:v>21263108</x:v>
      </x:c>
      <x:c r="M71" s="22" t="str">
        <x:v>https://bo.nalog.gov.ru/organizations-card/7810476672</x:v>
      </x:c>
    </x:row>
    <x:row r="72">
      <x:c r="A72" s="22" t="n">
        <x:v>225</x:v>
      </x:c>
      <x:c r="B72" s="22" t="str">
        <x:v>SBW х Subway</x:v>
      </x:c>
      <x:c r="C72" s="22" t="n">
        <x:v>2024</x:v>
      </x:c>
      <x:c r="D72" s="22" t="str">
        <x:v>ООО "ССК"</x:v>
      </x:c>
      <x:c r="E72" s="22" t="str">
        <x:v>7810476672</x:v>
      </x:c>
      <x:c r="F72" s="23" t="n">
        <x:v>156359</x:v>
      </x:c>
      <x:c r="G72" s="23" t="str">
        <x:v>-</x:v>
      </x:c>
      <x:c r="H72" s="23" t="n">
        <x:v>49593</x:v>
      </x:c>
      <x:c r="I72" s="23" t="n">
        <x:v>0</x:v>
      </x:c>
      <x:c r="J72" s="22" t="str">
        <x:v>-</x:v>
      </x:c>
      <x:c r="K72" s="22" t="str">
        <x:v>2025-03-28</x:v>
      </x:c>
      <x:c r="L72" s="22" t="n">
        <x:v>24578363</x:v>
      </x:c>
      <x:c r="M72" s="22" t="str">
        <x:v>https://bo.nalog.gov.ru/organizations-card/7810476672</x:v>
      </x:c>
    </x:row>
    <x:row r="73">
      <x:c r="A73" s="22" t="n">
        <x:v>225</x:v>
      </x:c>
      <x:c r="B73" s="22" t="str">
        <x:v>SBW х Subway</x:v>
      </x:c>
      <x:c r="C73" s="22" t="n">
        <x:v>2025</x:v>
      </x:c>
      <x:c r="D73" s="22" t="str">
        <x:v>ООО "ССК"</x:v>
      </x:c>
      <x:c r="E73" s="22" t="str">
        <x:v>7810476672</x:v>
      </x:c>
      <x:c r="F73" s="23" t="n">
        <x:v>117703</x:v>
      </x:c>
      <x:c r="G73" s="23" t="str">
        <x:v>-</x:v>
      </x:c>
      <x:c r="H73" s="23" t="n">
        <x:v>19567</x:v>
      </x:c>
      <x:c r="I73" s="23" t="n">
        <x:v>0</x:v>
      </x:c>
      <x:c r="J73" s="22" t="str">
        <x:v>-</x:v>
      </x:c>
      <x:c r="K73" s="22" t="str">
        <x:v>2026-03-25</x:v>
      </x:c>
      <x:c r="L73" s="22" t="n">
        <x:v>27914731</x:v>
      </x:c>
      <x:c r="M73" s="22" t="str">
        <x:v>https://bo.nalog.gov.ru/organizations-card/7810476672</x:v>
      </x:c>
    </x:row>
    <x:row r="74">
      <x:c r="A74" s="22" t="n">
        <x:v>229</x:v>
      </x:c>
      <x:c r="B74" s="22" t="str">
        <x:v>Сели Поели</x:v>
      </x:c>
      <x:c r="C74" s="22" t="n">
        <x:v>2023</x:v>
      </x:c>
      <x:c r="D74" s="22" t="str">
        <x:v>ООО "СЕЛИ-ПОЕЛИ"</x:v>
      </x:c>
      <x:c r="E74" s="22" t="str">
        <x:v>4345454394</x:v>
      </x:c>
      <x:c r="F74" s="23" t="n">
        <x:v>54433</x:v>
      </x:c>
      <x:c r="G74" s="23" t="str">
        <x:v>-</x:v>
      </x:c>
      <x:c r="H74" s="23" t="n">
        <x:v>8244</x:v>
      </x:c>
      <x:c r="I74" s="23" t="n">
        <x:v>0</x:v>
      </x:c>
      <x:c r="J74" s="22" t="str">
        <x:v>-</x:v>
      </x:c>
      <x:c r="K74" s="22" t="str">
        <x:v>2024-03-07</x:v>
      </x:c>
      <x:c r="L74" s="22" t="n">
        <x:v>20594291</x:v>
      </x:c>
      <x:c r="M74" s="22" t="str">
        <x:v>https://bo.nalog.gov.ru/organizations-card/4345454394</x:v>
      </x:c>
    </x:row>
    <x:row r="75">
      <x:c r="A75" s="22" t="n">
        <x:v>229</x:v>
      </x:c>
      <x:c r="B75" s="22" t="str">
        <x:v>Сели Поели</x:v>
      </x:c>
      <x:c r="C75" s="22" t="n">
        <x:v>2024</x:v>
      </x:c>
      <x:c r="D75" s="22" t="str">
        <x:v>ООО "СЕЛИ-ПОЕЛИ"</x:v>
      </x:c>
      <x:c r="E75" s="22" t="str">
        <x:v>4345454394</x:v>
      </x:c>
      <x:c r="F75" s="23" t="n">
        <x:v>59684</x:v>
      </x:c>
      <x:c r="G75" s="23" t="str">
        <x:v>-</x:v>
      </x:c>
      <x:c r="H75" s="23" t="n">
        <x:v>5849</x:v>
      </x:c>
      <x:c r="I75" s="23" t="n">
        <x:v>0</x:v>
      </x:c>
      <x:c r="J75" s="22" t="str">
        <x:v>-</x:v>
      </x:c>
      <x:c r="K75" s="22" t="str">
        <x:v>2025-03-14</x:v>
      </x:c>
      <x:c r="L75" s="22" t="n">
        <x:v>23635303</x:v>
      </x:c>
      <x:c r="M75" s="22" t="str">
        <x:v>https://bo.nalog.gov.ru/organizations-card/4345454394</x:v>
      </x:c>
    </x:row>
    <x:row r="76">
      <x:c r="A76" s="22" t="n">
        <x:v>229</x:v>
      </x:c>
      <x:c r="B76" s="22" t="str">
        <x:v>Сели Поели</x:v>
      </x:c>
      <x:c r="C76" s="22" t="n">
        <x:v>2025</x:v>
      </x:c>
      <x:c r="D76" s="22" t="str">
        <x:v>ООО "СЕЛИ-ПОЕЛИ"</x:v>
      </x:c>
      <x:c r="E76" s="22" t="str">
        <x:v>4345454394</x:v>
      </x:c>
      <x:c r="F76" s="23" t="n">
        <x:v>139479</x:v>
      </x:c>
      <x:c r="G76" s="23" t="str">
        <x:v>-</x:v>
      </x:c>
      <x:c r="H76" s="23" t="n">
        <x:v>27442</x:v>
      </x:c>
      <x:c r="I76" s="23" t="n">
        <x:v>0</x:v>
      </x:c>
      <x:c r="J76" s="22" t="str">
        <x:v>-</x:v>
      </x:c>
      <x:c r="K76" s="22" t="str">
        <x:v>2026-03-27</x:v>
      </x:c>
      <x:c r="L76" s="22" t="n">
        <x:v>28243637</x:v>
      </x:c>
      <x:c r="M76" s="22" t="str">
        <x:v>https://bo.nalog.gov.ru/organizations-card/4345454394</x:v>
      </x:c>
    </x:row>
    <x:row r="77">
      <x:c r="A77" s="22" t="n">
        <x:v>232</x:v>
      </x:c>
      <x:c r="B77" s="22" t="str">
        <x:v>Базар</x:v>
      </x:c>
      <x:c r="C77" s="22" t="n">
        <x:v>2023</x:v>
      </x:c>
      <x:c r="D77" s="22" t="str">
        <x:v>ООО "БАЗАР"</x:v>
      </x:c>
      <x:c r="E77" s="22" t="str">
        <x:v>1657241710</x:v>
      </x:c>
      <x:c r="F77" s="23" t="n">
        <x:v>6863</x:v>
      </x:c>
      <x:c r="G77" s="23" t="n">
        <x:v>3504</x:v>
      </x:c>
      <x:c r="H77" s="23" t="n">
        <x:v>1680</x:v>
      </x:c>
      <x:c r="I77" s="23" t="n">
        <x:v>0</x:v>
      </x:c>
      <x:c r="J77" s="22" t="str">
        <x:v>-</x:v>
      </x:c>
      <x:c r="K77" s="22" t="str">
        <x:v>2024-03-22</x:v>
      </x:c>
      <x:c r="L77" s="22" t="n">
        <x:v>21218296</x:v>
      </x:c>
      <x:c r="M77" s="22" t="str">
        <x:v>https://bo.nalog.gov.ru/organizations-card/1657241710</x:v>
      </x:c>
    </x:row>
    <x:row r="78">
      <x:c r="A78" s="22" t="n">
        <x:v>232</x:v>
      </x:c>
      <x:c r="B78" s="22" t="str">
        <x:v>Базар</x:v>
      </x:c>
      <x:c r="C78" s="22" t="n">
        <x:v>2024</x:v>
      </x:c>
      <x:c r="D78" s="22" t="str">
        <x:v>ООО "БАЗАР"</x:v>
      </x:c>
      <x:c r="E78" s="22" t="str">
        <x:v>1657241710</x:v>
      </x:c>
      <x:c r="F78" s="23" t="n">
        <x:v>0</x:v>
      </x:c>
      <x:c r="G78" s="23" t="n">
        <x:v>0</x:v>
      </x:c>
      <x:c r="H78" s="23" t="n">
        <x:v>0</x:v>
      </x:c>
      <x:c r="I78" s="23" t="n">
        <x:v>1258</x:v>
      </x:c>
      <x:c r="J78" s="22" t="str">
        <x:v>-</x:v>
      </x:c>
      <x:c r="K78" s="22" t="str">
        <x:v>2025-03-13</x:v>
      </x:c>
      <x:c r="L78" s="22" t="n">
        <x:v>23614658</x:v>
      </x:c>
      <x:c r="M78" s="22" t="str">
        <x:v>https://bo.nalog.gov.ru/organizations-card/1657241710</x:v>
      </x:c>
    </x:row>
    <x:row r="79">
      <x:c r="A79" s="22" t="n">
        <x:v>232</x:v>
      </x:c>
      <x:c r="B79" s="22" t="str">
        <x:v>Базар</x:v>
      </x:c>
      <x:c r="C79" s="22" t="n">
        <x:v>2025</x:v>
      </x:c>
      <x:c r="D79" s="22" t="str">
        <x:v>ООО "БАЗАР"</x:v>
      </x:c>
      <x:c r="E79" s="22" t="str">
        <x:v>1657241710</x:v>
      </x:c>
      <x:c r="F79" s="23" t="str">
        <x:v>-</x:v>
      </x:c>
      <x:c r="G79" s="23" t="str">
        <x:v>-</x:v>
      </x:c>
      <x:c r="H79" s="23" t="n">
        <x:v>0</x:v>
      </x:c>
      <x:c r="I79" s="23" t="n">
        <x:v>406</x:v>
      </x:c>
      <x:c r="J79" s="22" t="str">
        <x:v>-</x:v>
      </x:c>
      <x:c r="K79" s="22" t="str">
        <x:v>2026-03-11</x:v>
      </x:c>
      <x:c r="L79" s="22" t="n">
        <x:v>26679491</x:v>
      </x:c>
      <x:c r="M79" s="22" t="str">
        <x:v>https://bo.nalog.gov.ru/organizations-card/1657241710</x:v>
      </x:c>
    </x:row>
    <x:row r="80">
      <x:c r="A80" s="22" t="n">
        <x:v>233</x:v>
      </x:c>
      <x:c r="B80" s="22" t="str">
        <x:v>Rostic's</x:v>
      </x:c>
      <x:c r="C80" s="22" t="n">
        <x:v>2023</x:v>
      </x:c>
      <x:c r="D80" s="22" t="str">
        <x:v>ООО "ЮНИРЕСТ"</x:v>
      </x:c>
      <x:c r="E80" s="22" t="str">
        <x:v>7722561551</x:v>
      </x:c>
      <x:c r="F80" s="23" t="n">
        <x:v>20168953</x:v>
      </x:c>
      <x:c r="G80" s="23" t="n">
        <x:v>14955521</x:v>
      </x:c>
      <x:c r="H80" s="23" t="n">
        <x:v>3539841</x:v>
      </x:c>
      <x:c r="I80" s="23" t="n">
        <x:v>0</x:v>
      </x:c>
      <x:c r="J80" s="22" t="str">
        <x:v>-</x:v>
      </x:c>
      <x:c r="K80" s="22" t="str">
        <x:v>2024-05-29</x:v>
      </x:c>
      <x:c r="L80" s="22" t="n">
        <x:v>21767467</x:v>
      </x:c>
      <x:c r="M80" s="22" t="str">
        <x:v>https://bo.nalog.gov.ru/organizations-card/7722561551</x:v>
      </x:c>
    </x:row>
    <x:row r="81">
      <x:c r="A81" s="22" t="n">
        <x:v>233</x:v>
      </x:c>
      <x:c r="B81" s="22" t="str">
        <x:v>Rostic's</x:v>
      </x:c>
      <x:c r="C81" s="22" t="n">
        <x:v>2024</x:v>
      </x:c>
      <x:c r="D81" s="22" t="str">
        <x:v>ООО "ЮНИРЕСТ"</x:v>
      </x:c>
      <x:c r="E81" s="22" t="str">
        <x:v>7722561551</x:v>
      </x:c>
      <x:c r="F81" s="23" t="n">
        <x:v>25930672</x:v>
      </x:c>
      <x:c r="G81" s="23" t="n">
        <x:v>20142693</x:v>
      </x:c>
      <x:c r="H81" s="23" t="n">
        <x:v>5678938</x:v>
      </x:c>
      <x:c r="I81" s="23" t="n">
        <x:v>0</x:v>
      </x:c>
      <x:c r="J81" s="22" t="str">
        <x:v>-</x:v>
      </x:c>
      <x:c r="K81" s="22" t="str">
        <x:v>2025-05-23</x:v>
      </x:c>
      <x:c r="L81" s="22" t="n">
        <x:v>24845279</x:v>
      </x:c>
      <x:c r="M81" s="22" t="str">
        <x:v>https://bo.nalog.gov.ru/organizations-card/7722561551</x:v>
      </x:c>
    </x:row>
    <x:row r="82">
      <x:c r="A82" s="22" t="n">
        <x:v>233</x:v>
      </x:c>
      <x:c r="B82" s="22" t="str">
        <x:v>Rostic's</x:v>
      </x:c>
      <x:c r="C82" s="22" t="n">
        <x:v>2025</x:v>
      </x:c>
      <x:c r="D82" s="22" t="str">
        <x:v>ООО "ЮНИРЕСТ"</x:v>
      </x:c>
      <x:c r="E82" s="22" t="str">
        <x:v>7722561551</x:v>
      </x:c>
      <x:c r="F82" s="23" t="n">
        <x:v>30813210</x:v>
      </x:c>
      <x:c r="G82" s="23" t="n">
        <x:v>24240245</x:v>
      </x:c>
      <x:c r="H82" s="23" t="n">
        <x:v>4115411</x:v>
      </x:c>
      <x:c r="I82" s="23" t="n">
        <x:v>0</x:v>
      </x:c>
      <x:c r="J82" s="22" t="str">
        <x:v>-</x:v>
      </x:c>
      <x:c r="K82" s="22" t="str">
        <x:v>2026-04-30</x:v>
      </x:c>
      <x:c r="L82" s="22" t="n">
        <x:v>29314320</x:v>
      </x:c>
      <x:c r="M82" s="22" t="str">
        <x:v>https://bo.nalog.gov.ru/organizations-card/7722561551</x:v>
      </x:c>
    </x:row>
    <x:row r="83">
      <x:c r="A83" s="22" t="n">
        <x:v>234</x:v>
      </x:c>
      <x:c r="B83" s="22" t="str">
        <x:v>Папа Джонс</x:v>
      </x:c>
      <x:c r="C83" s="22" t="n">
        <x:v>2023</x:v>
      </x:c>
      <x:c r="D83" s="22" t="str">
        <x:v>ООО "ПИ ДЖЕЙ РЕСТОРАНТС"</x:v>
      </x:c>
      <x:c r="E83" s="22" t="str">
        <x:v>7724701466</x:v>
      </x:c>
      <x:c r="F83" s="23" t="str">
        <x:v>-</x:v>
      </x:c>
      <x:c r="G83" s="23" t="str">
        <x:v>-</x:v>
      </x:c>
      <x:c r="H83" s="23" t="str">
        <x:v>-</x:v>
      </x:c>
      <x:c r="I83" s="23" t="str">
        <x:v>-</x:v>
      </x:c>
      <x:c r="J83" s="22" t="str">
        <x:v>-</x:v>
      </x:c>
      <x:c r="K83" s="22" t="str">
        <x:v>-</x:v>
      </x:c>
      <x:c r="L83" s="22" t="str">
        <x:v>-</x:v>
      </x:c>
      <x:c r="M83" s="22" t="str">
        <x:v>-</x:v>
      </x:c>
    </x:row>
    <x:row r="84">
      <x:c r="A84" s="22" t="n">
        <x:v>234</x:v>
      </x:c>
      <x:c r="B84" s="22" t="str">
        <x:v>Папа Джонс</x:v>
      </x:c>
      <x:c r="C84" s="22" t="n">
        <x:v>2024</x:v>
      </x:c>
      <x:c r="D84" s="22" t="str">
        <x:v>ООО "ПИ ДЖЕЙ РЕСТОРАНТС"</x:v>
      </x:c>
      <x:c r="E84" s="22" t="str">
        <x:v>7724701466</x:v>
      </x:c>
      <x:c r="F84" s="23" t="str">
        <x:v>-</x:v>
      </x:c>
      <x:c r="G84" s="23" t="str">
        <x:v>-</x:v>
      </x:c>
      <x:c r="H84" s="23" t="str">
        <x:v>-</x:v>
      </x:c>
      <x:c r="I84" s="23" t="str">
        <x:v>-</x:v>
      </x:c>
      <x:c r="J84" s="22" t="str">
        <x:v>-</x:v>
      </x:c>
      <x:c r="K84" s="22" t="str">
        <x:v>-</x:v>
      </x:c>
      <x:c r="L84" s="22" t="str">
        <x:v>-</x:v>
      </x:c>
      <x:c r="M84" s="22" t="str">
        <x:v>-</x:v>
      </x:c>
    </x:row>
    <x:row r="85">
      <x:c r="A85" s="22" t="n">
        <x:v>234</x:v>
      </x:c>
      <x:c r="B85" s="22" t="str">
        <x:v>Папа Джонс</x:v>
      </x:c>
      <x:c r="C85" s="22" t="n">
        <x:v>2025</x:v>
      </x:c>
      <x:c r="D85" s="22" t="str">
        <x:v>ООО "ПИ ДЖЕЙ РЕСТОРАНТС"</x:v>
      </x:c>
      <x:c r="E85" s="22" t="str">
        <x:v>7724701466</x:v>
      </x:c>
      <x:c r="F85" s="23" t="str">
        <x:v>-</x:v>
      </x:c>
      <x:c r="G85" s="23" t="str">
        <x:v>-</x:v>
      </x:c>
      <x:c r="H85" s="23" t="str">
        <x:v>-</x:v>
      </x:c>
      <x:c r="I85" s="23" t="str">
        <x:v>-</x:v>
      </x:c>
      <x:c r="J85" s="22" t="str">
        <x:v>-</x:v>
      </x:c>
      <x:c r="K85" s="22" t="str">
        <x:v>-</x:v>
      </x:c>
      <x:c r="L85" s="22" t="str">
        <x:v>-</x:v>
      </x:c>
      <x:c r="M85" s="22" t="str">
        <x:v>-</x:v>
      </x:c>
    </x:row>
    <x:row r="86">
      <x:c r="A86" s="22" t="n">
        <x:v>235</x:v>
      </x:c>
      <x:c r="B86" s="22" t="str">
        <x:v>Subway</x:v>
      </x:c>
      <x:c r="C86" s="22" t="n">
        <x:v>2023</x:v>
      </x:c>
      <x:c r="D86" s="22" t="str">
        <x:v>ООО "ССК"</x:v>
      </x:c>
      <x:c r="E86" s="22" t="str">
        <x:v>7810476672</x:v>
      </x:c>
      <x:c r="F86" s="23" t="n">
        <x:v>75067</x:v>
      </x:c>
      <x:c r="G86" s="23" t="str">
        <x:v>-</x:v>
      </x:c>
      <x:c r="H86" s="23" t="n">
        <x:v>0</x:v>
      </x:c>
      <x:c r="I86" s="23" t="n">
        <x:v>13678</x:v>
      </x:c>
      <x:c r="J86" s="22" t="str">
        <x:v>-</x:v>
      </x:c>
      <x:c r="K86" s="22" t="str">
        <x:v>2024-03-24</x:v>
      </x:c>
      <x:c r="L86" s="22" t="n">
        <x:v>21263108</x:v>
      </x:c>
      <x:c r="M86" s="22" t="str">
        <x:v>https://bo.nalog.gov.ru/organizations-card/7810476672</x:v>
      </x:c>
    </x:row>
    <x:row r="87">
      <x:c r="A87" s="22" t="n">
        <x:v>235</x:v>
      </x:c>
      <x:c r="B87" s="22" t="str">
        <x:v>Subway</x:v>
      </x:c>
      <x:c r="C87" s="22" t="n">
        <x:v>2024</x:v>
      </x:c>
      <x:c r="D87" s="22" t="str">
        <x:v>ООО "ССК"</x:v>
      </x:c>
      <x:c r="E87" s="22" t="str">
        <x:v>7810476672</x:v>
      </x:c>
      <x:c r="F87" s="23" t="n">
        <x:v>156359</x:v>
      </x:c>
      <x:c r="G87" s="23" t="str">
        <x:v>-</x:v>
      </x:c>
      <x:c r="H87" s="23" t="n">
        <x:v>49593</x:v>
      </x:c>
      <x:c r="I87" s="23" t="n">
        <x:v>0</x:v>
      </x:c>
      <x:c r="J87" s="22" t="str">
        <x:v>-</x:v>
      </x:c>
      <x:c r="K87" s="22" t="str">
        <x:v>2025-03-28</x:v>
      </x:c>
      <x:c r="L87" s="22" t="n">
        <x:v>24578363</x:v>
      </x:c>
      <x:c r="M87" s="22" t="str">
        <x:v>https://bo.nalog.gov.ru/organizations-card/7810476672</x:v>
      </x:c>
    </x:row>
    <x:row r="88">
      <x:c r="A88" s="22" t="n">
        <x:v>235</x:v>
      </x:c>
      <x:c r="B88" s="22" t="str">
        <x:v>Subway</x:v>
      </x:c>
      <x:c r="C88" s="22" t="n">
        <x:v>2025</x:v>
      </x:c>
      <x:c r="D88" s="22" t="str">
        <x:v>ООО "ССК"</x:v>
      </x:c>
      <x:c r="E88" s="22" t="str">
        <x:v>7810476672</x:v>
      </x:c>
      <x:c r="F88" s="23" t="n">
        <x:v>117703</x:v>
      </x:c>
      <x:c r="G88" s="23" t="str">
        <x:v>-</x:v>
      </x:c>
      <x:c r="H88" s="23" t="n">
        <x:v>19567</x:v>
      </x:c>
      <x:c r="I88" s="23" t="n">
        <x:v>0</x:v>
      </x:c>
      <x:c r="J88" s="22" t="str">
        <x:v>-</x:v>
      </x:c>
      <x:c r="K88" s="22" t="str">
        <x:v>2026-03-25</x:v>
      </x:c>
      <x:c r="L88" s="22" t="n">
        <x:v>27914731</x:v>
      </x:c>
      <x:c r="M88" s="22" t="str">
        <x:v>https://bo.nalog.gov.ru/organizations-card/7810476672</x:v>
      </x:c>
    </x:row>
    <x:row r="89">
      <x:c r="A89" s="22" t="n">
        <x:v>236</x:v>
      </x:c>
      <x:c r="B89" s="22" t="str">
        <x:v>Бургер Кинг</x:v>
      </x:c>
      <x:c r="C89" s="22" t="n">
        <x:v>2023</x:v>
      </x:c>
      <x:c r="D89" s="22" t="str">
        <x:v>ООО "БУРГЕР РУС"</x:v>
      </x:c>
      <x:c r="E89" s="22" t="str">
        <x:v>7719723690</x:v>
      </x:c>
      <x:c r="F89" s="23" t="n">
        <x:v>74455646</x:v>
      </x:c>
      <x:c r="G89" s="23" t="n">
        <x:v>15131005</x:v>
      </x:c>
      <x:c r="H89" s="23" t="n">
        <x:v>1799543</x:v>
      </x:c>
      <x:c r="I89" s="23" t="n">
        <x:v>0</x:v>
      </x:c>
      <x:c r="J89" s="22" t="str">
        <x:v>-</x:v>
      </x:c>
      <x:c r="K89" s="22" t="str">
        <x:v>2024-05-28</x:v>
      </x:c>
      <x:c r="L89" s="22" t="n">
        <x:v>22147779</x:v>
      </x:c>
      <x:c r="M89" s="22" t="str">
        <x:v>https://bo.nalog.gov.ru/organizations-card/7719723690</x:v>
      </x:c>
    </x:row>
    <x:row r="90">
      <x:c r="A90" s="22" t="n">
        <x:v>236</x:v>
      </x:c>
      <x:c r="B90" s="22" t="str">
        <x:v>Бургер Кинг</x:v>
      </x:c>
      <x:c r="C90" s="22" t="n">
        <x:v>2024</x:v>
      </x:c>
      <x:c r="D90" s="22" t="str">
        <x:v>ООО "БУРГЕР РУС"</x:v>
      </x:c>
      <x:c r="E90" s="22" t="str">
        <x:v>7719723690</x:v>
      </x:c>
      <x:c r="F90" s="23" t="n">
        <x:v>90264478</x:v>
      </x:c>
      <x:c r="G90" s="23" t="n">
        <x:v>17291096</x:v>
      </x:c>
      <x:c r="H90" s="23" t="n">
        <x:v>1634622</x:v>
      </x:c>
      <x:c r="I90" s="23" t="n">
        <x:v>0</x:v>
      </x:c>
      <x:c r="J90" s="22" t="str">
        <x:v>-</x:v>
      </x:c>
      <x:c r="K90" s="22" t="str">
        <x:v>2025-06-03</x:v>
      </x:c>
      <x:c r="L90" s="22" t="n">
        <x:v>25161767</x:v>
      </x:c>
      <x:c r="M90" s="22" t="str">
        <x:v>https://bo.nalog.gov.ru/organizations-card/7719723690</x:v>
      </x:c>
    </x:row>
    <x:row r="91">
      <x:c r="A91" s="22" t="n">
        <x:v>236</x:v>
      </x:c>
      <x:c r="B91" s="22" t="str">
        <x:v>Бургер Кинг</x:v>
      </x:c>
      <x:c r="C91" s="22" t="n">
        <x:v>2025</x:v>
      </x:c>
      <x:c r="D91" s="22" t="str">
        <x:v>ООО "БУРГЕР РУС"</x:v>
      </x:c>
      <x:c r="E91" s="22" t="str">
        <x:v>7719723690</x:v>
      </x:c>
      <x:c r="F91" s="23" t="n">
        <x:v>103954806</x:v>
      </x:c>
      <x:c r="G91" s="23" t="n">
        <x:v>17849571</x:v>
      </x:c>
      <x:c r="H91" s="23" t="n">
        <x:v>637589</x:v>
      </x:c>
      <x:c r="I91" s="23" t="n">
        <x:v>0</x:v>
      </x:c>
      <x:c r="J91" s="22" t="str">
        <x:v>-</x:v>
      </x:c>
      <x:c r="K91" s="22" t="str">
        <x:v>2026-03-31</x:v>
      </x:c>
      <x:c r="L91" s="22" t="n">
        <x:v>30033406</x:v>
      </x:c>
      <x:c r="M91" s="22" t="str">
        <x:v>https://bo.nalog.gov.ru/organizations-card/7719723690</x:v>
      </x:c>
    </x:row>
    <x:row r="92">
      <x:c r="A92" s="22" t="n">
        <x:v>238</x:v>
      </x:c>
      <x:c r="B92" s="22" t="str">
        <x:v>Старик Хинкалыч</x:v>
      </x:c>
      <x:c r="C92" s="22" t="n">
        <x:v>2023</x:v>
      </x:c>
      <x:c r="D92" s="22" t="str">
        <x:v>ООО "СТАРИК ХИНКАЛЫЧ"</x:v>
      </x:c>
      <x:c r="E92" s="22" t="str">
        <x:v>9201517469</x:v>
      </x:c>
      <x:c r="F92" s="23" t="n">
        <x:v>7659</x:v>
      </x:c>
      <x:c r="G92" s="23" t="str">
        <x:v>-</x:v>
      </x:c>
      <x:c r="H92" s="23" t="n">
        <x:v>632</x:v>
      </x:c>
      <x:c r="I92" s="23" t="n">
        <x:v>0</x:v>
      </x:c>
      <x:c r="J92" s="22" t="str">
        <x:v>-</x:v>
      </x:c>
      <x:c r="K92" s="22" t="str">
        <x:v>2024-03-12</x:v>
      </x:c>
      <x:c r="L92" s="22" t="n">
        <x:v>20683925</x:v>
      </x:c>
      <x:c r="M92" s="22" t="str">
        <x:v>https://bo.nalog.gov.ru/organizations-card/9201517469</x:v>
      </x:c>
    </x:row>
    <x:row r="93">
      <x:c r="A93" s="22" t="n">
        <x:v>238</x:v>
      </x:c>
      <x:c r="B93" s="22" t="str">
        <x:v>Старик Хинкалыч</x:v>
      </x:c>
      <x:c r="C93" s="22" t="n">
        <x:v>2024</x:v>
      </x:c>
      <x:c r="D93" s="22" t="str">
        <x:v>ООО "СТАРИК ХИНКАЛЫЧ"</x:v>
      </x:c>
      <x:c r="E93" s="22" t="str">
        <x:v>9201517469</x:v>
      </x:c>
      <x:c r="F93" s="23" t="n">
        <x:v>7687</x:v>
      </x:c>
      <x:c r="G93" s="23" t="str">
        <x:v>-</x:v>
      </x:c>
      <x:c r="H93" s="23" t="n">
        <x:v>236</x:v>
      </x:c>
      <x:c r="I93" s="23" t="n">
        <x:v>0</x:v>
      </x:c>
      <x:c r="J93" s="22" t="str">
        <x:v>-</x:v>
      </x:c>
      <x:c r="K93" s="22" t="str">
        <x:v>2025-02-07</x:v>
      </x:c>
      <x:c r="L93" s="22" t="n">
        <x:v>23074576</x:v>
      </x:c>
      <x:c r="M93" s="22" t="str">
        <x:v>https://bo.nalog.gov.ru/organizations-card/9201517469</x:v>
      </x:c>
    </x:row>
    <x:row r="94">
      <x:c r="A94" s="22" t="n">
        <x:v>238</x:v>
      </x:c>
      <x:c r="B94" s="22" t="str">
        <x:v>Старик Хинкалыч</x:v>
      </x:c>
      <x:c r="C94" s="22" t="n">
        <x:v>2025</x:v>
      </x:c>
      <x:c r="D94" s="22" t="str">
        <x:v>ООО "СТАРИК ХИНКАЛЫЧ"</x:v>
      </x:c>
      <x:c r="E94" s="22" t="str">
        <x:v>9201517469</x:v>
      </x:c>
      <x:c r="F94" s="23" t="n">
        <x:v>7566</x:v>
      </x:c>
      <x:c r="G94" s="23" t="str">
        <x:v>-</x:v>
      </x:c>
      <x:c r="H94" s="23" t="n">
        <x:v>176</x:v>
      </x:c>
      <x:c r="I94" s="23" t="n">
        <x:v>0</x:v>
      </x:c>
      <x:c r="J94" s="22" t="str">
        <x:v>-</x:v>
      </x:c>
      <x:c r="K94" s="22" t="str">
        <x:v>2026-03-13</x:v>
      </x:c>
      <x:c r="L94" s="22" t="n">
        <x:v>26830731</x:v>
      </x:c>
      <x:c r="M94" s="22" t="str">
        <x:v>https://bo.nalog.gov.ru/organizations-card/9201517469</x:v>
      </x:c>
    </x:row>
    <x:row r="95">
      <x:c r="A95" s="22" t="n">
        <x:v>239</x:v>
      </x:c>
      <x:c r="B95" s="22" t="str">
        <x:v>Платформа 9 3/4</x:v>
      </x:c>
      <x:c r="C95" s="22" t="n">
        <x:v>2023</x:v>
      </x:c>
      <x:c r="D95" s="22" t="str">
        <x:v>-</x:v>
      </x:c>
      <x:c r="E95" s="22" t="str">
        <x:v>-</x:v>
      </x:c>
      <x:c r="F95" s="23" t="str">
        <x:v>-</x:v>
      </x:c>
      <x:c r="G95" s="23" t="str">
        <x:v>-</x:v>
      </x:c>
      <x:c r="H95" s="23" t="str">
        <x:v>-</x:v>
      </x:c>
      <x:c r="I95" s="23" t="str">
        <x:v>-</x:v>
      </x:c>
      <x:c r="J95" s="22" t="str">
        <x:v>-</x:v>
      </x:c>
      <x:c r="K95" s="22" t="str">
        <x:v>-</x:v>
      </x:c>
      <x:c r="L95" s="22" t="str">
        <x:v>-</x:v>
      </x:c>
      <x:c r="M95" s="22" t="str">
        <x:v>-</x:v>
      </x:c>
    </x:row>
    <x:row r="96">
      <x:c r="A96" s="22" t="n">
        <x:v>239</x:v>
      </x:c>
      <x:c r="B96" s="22" t="str">
        <x:v>Платформа 9 3/4</x:v>
      </x:c>
      <x:c r="C96" s="22" t="n">
        <x:v>2024</x:v>
      </x:c>
      <x:c r="D96" s="22" t="str">
        <x:v>-</x:v>
      </x:c>
      <x:c r="E96" s="22" t="str">
        <x:v>-</x:v>
      </x:c>
      <x:c r="F96" s="23" t="str">
        <x:v>-</x:v>
      </x:c>
      <x:c r="G96" s="23" t="str">
        <x:v>-</x:v>
      </x:c>
      <x:c r="H96" s="23" t="str">
        <x:v>-</x:v>
      </x:c>
      <x:c r="I96" s="23" t="str">
        <x:v>-</x:v>
      </x:c>
      <x:c r="J96" s="22" t="str">
        <x:v>-</x:v>
      </x:c>
      <x:c r="K96" s="22" t="str">
        <x:v>-</x:v>
      </x:c>
      <x:c r="L96" s="22" t="str">
        <x:v>-</x:v>
      </x:c>
      <x:c r="M96" s="22" t="str">
        <x:v>-</x:v>
      </x:c>
    </x:row>
    <x:row r="97">
      <x:c r="A97" s="22" t="n">
        <x:v>239</x:v>
      </x:c>
      <x:c r="B97" s="22" t="str">
        <x:v>Платформа 9 3/4</x:v>
      </x:c>
      <x:c r="C97" s="22" t="n">
        <x:v>2025</x:v>
      </x:c>
      <x:c r="D97" s="22" t="str">
        <x:v>-</x:v>
      </x:c>
      <x:c r="E97" s="22" t="str">
        <x:v>-</x:v>
      </x:c>
      <x:c r="F97" s="23" t="str">
        <x:v>-</x:v>
      </x:c>
      <x:c r="G97" s="23" t="str">
        <x:v>-</x:v>
      </x:c>
      <x:c r="H97" s="23" t="str">
        <x:v>-</x:v>
      </x:c>
      <x:c r="I97" s="23" t="str">
        <x:v>-</x:v>
      </x:c>
      <x:c r="J97" s="22" t="str">
        <x:v>-</x:v>
      </x:c>
      <x:c r="K97" s="22" t="str">
        <x:v>-</x:v>
      </x:c>
      <x:c r="L97" s="22" t="str">
        <x:v>-</x:v>
      </x:c>
      <x:c r="M97" s="22" t="str">
        <x:v>-</x:v>
      </x:c>
    </x:row>
    <x:row r="98">
      <x:c r="A98" s="22" t="n">
        <x:v>240</x:v>
      </x:c>
      <x:c r="B98" s="22" t="str">
        <x:v>Бумбараш</x:v>
      </x:c>
      <x:c r="C98" s="22" t="n">
        <x:v>2023</x:v>
      </x:c>
      <x:c r="D98" s="22" t="str">
        <x:v>ООО "БУМБАРАШ БОЛЬШОЙ"</x:v>
      </x:c>
      <x:c r="E98" s="22" t="str">
        <x:v>2308275139</x:v>
      </x:c>
      <x:c r="F98" s="23" t="str">
        <x:v>-</x:v>
      </x:c>
      <x:c r="G98" s="23" t="str">
        <x:v>-</x:v>
      </x:c>
      <x:c r="H98" s="23" t="n">
        <x:v>0</x:v>
      </x:c>
      <x:c r="I98" s="23" t="n">
        <x:v>1229</x:v>
      </x:c>
      <x:c r="J98" s="22" t="str">
        <x:v>-</x:v>
      </x:c>
      <x:c r="K98" s="22" t="str">
        <x:v>2024-03-27</x:v>
      </x:c>
      <x:c r="L98" s="22" t="n">
        <x:v>21588775</x:v>
      </x:c>
      <x:c r="M98" s="22" t="str">
        <x:v>https://bo.nalog.gov.ru/organizations-card/2308275139</x:v>
      </x:c>
    </x:row>
    <x:row r="99">
      <x:c r="A99" s="22" t="n">
        <x:v>240</x:v>
      </x:c>
      <x:c r="B99" s="22" t="str">
        <x:v>Бумбараш</x:v>
      </x:c>
      <x:c r="C99" s="22" t="n">
        <x:v>2024</x:v>
      </x:c>
      <x:c r="D99" s="22" t="str">
        <x:v>ООО "БУМБАРАШ БОЛЬШОЙ"</x:v>
      </x:c>
      <x:c r="E99" s="22" t="str">
        <x:v>2308275139</x:v>
      </x:c>
      <x:c r="F99" s="23" t="str">
        <x:v>-</x:v>
      </x:c>
      <x:c r="G99" s="23" t="str">
        <x:v>-</x:v>
      </x:c>
      <x:c r="H99" s="23" t="n">
        <x:v>0</x:v>
      </x:c>
      <x:c r="I99" s="23" t="n">
        <x:v>11</x:v>
      </x:c>
      <x:c r="J99" s="22" t="str">
        <x:v>-</x:v>
      </x:c>
      <x:c r="K99" s="22" t="str">
        <x:v>2025-03-18</x:v>
      </x:c>
      <x:c r="L99" s="22" t="n">
        <x:v>23758671</x:v>
      </x:c>
      <x:c r="M99" s="22" t="str">
        <x:v>https://bo.nalog.gov.ru/organizations-card/2308275139</x:v>
      </x:c>
    </x:row>
    <x:row r="100">
      <x:c r="A100" s="22" t="n">
        <x:v>240</x:v>
      </x:c>
      <x:c r="B100" s="22" t="str">
        <x:v>Бумбараш</x:v>
      </x:c>
      <x:c r="C100" s="22" t="n">
        <x:v>2025</x:v>
      </x:c>
      <x:c r="D100" s="22" t="str">
        <x:v>ООО "БУМБАРАШ БОЛЬШОЙ"</x:v>
      </x:c>
      <x:c r="E100" s="22" t="str">
        <x:v>2308275139</x:v>
      </x:c>
      <x:c r="F100" s="23" t="n">
        <x:v>0</x:v>
      </x:c>
      <x:c r="G100" s="23" t="str">
        <x:v>-</x:v>
      </x:c>
      <x:c r="H100" s="23" t="n">
        <x:v>1453</x:v>
      </x:c>
      <x:c r="I100" s="23" t="n">
        <x:v>0</x:v>
      </x:c>
      <x:c r="J100" s="22" t="str">
        <x:v>-</x:v>
      </x:c>
      <x:c r="K100" s="22" t="str">
        <x:v>2026-02-19</x:v>
      </x:c>
      <x:c r="L100" s="22" t="n">
        <x:v>26181148</x:v>
      </x:c>
      <x:c r="M100" s="22" t="str">
        <x:v>https://bo.nalog.gov.ru/organizations-card/2308275139</x:v>
      </x:c>
    </x:row>
    <x:row r="101">
      <x:c r="A101" s="22" t="n">
        <x:v>241</x:v>
      </x:c>
      <x:c r="B101" s="22" t="str">
        <x:v>Диканька</x:v>
      </x:c>
      <x:c r="C101" s="22" t="n">
        <x:v>2023</x:v>
      </x:c>
      <x:c r="D101" s="22" t="str">
        <x:v>ООО "ДИКАНЬКА"</x:v>
      </x:c>
      <x:c r="E101" s="22" t="str">
        <x:v>7456001807</x:v>
      </x:c>
      <x:c r="F101" s="23" t="n">
        <x:v>126094</x:v>
      </x:c>
      <x:c r="G101" s="23" t="str">
        <x:v>-</x:v>
      </x:c>
      <x:c r="H101" s="23" t="n">
        <x:v>2204</x:v>
      </x:c>
      <x:c r="I101" s="23" t="n">
        <x:v>0</x:v>
      </x:c>
      <x:c r="J101" s="22" t="str">
        <x:v>-</x:v>
      </x:c>
      <x:c r="K101" s="22" t="str">
        <x:v>2024-03-20</x:v>
      </x:c>
      <x:c r="L101" s="22" t="n">
        <x:v>21013457</x:v>
      </x:c>
      <x:c r="M101" s="22" t="str">
        <x:v>https://bo.nalog.gov.ru/organizations-card/7456001807</x:v>
      </x:c>
    </x:row>
    <x:row r="102">
      <x:c r="A102" s="22" t="n">
        <x:v>241</x:v>
      </x:c>
      <x:c r="B102" s="22" t="str">
        <x:v>Диканька</x:v>
      </x:c>
      <x:c r="C102" s="22" t="n">
        <x:v>2024</x:v>
      </x:c>
      <x:c r="D102" s="22" t="str">
        <x:v>ООО "ДИКАНЬКА"</x:v>
      </x:c>
      <x:c r="E102" s="22" t="str">
        <x:v>7456001807</x:v>
      </x:c>
      <x:c r="F102" s="23" t="n">
        <x:v>164603</x:v>
      </x:c>
      <x:c r="G102" s="23" t="str">
        <x:v>-</x:v>
      </x:c>
      <x:c r="H102" s="23" t="n">
        <x:v>270</x:v>
      </x:c>
      <x:c r="I102" s="23" t="n">
        <x:v>0</x:v>
      </x:c>
      <x:c r="J102" s="22" t="str">
        <x:v>-</x:v>
      </x:c>
      <x:c r="K102" s="22" t="str">
        <x:v>2025-03-19</x:v>
      </x:c>
      <x:c r="L102" s="22" t="n">
        <x:v>23820157</x:v>
      </x:c>
      <x:c r="M102" s="22" t="str">
        <x:v>https://bo.nalog.gov.ru/organizations-card/7456001807</x:v>
      </x:c>
    </x:row>
    <x:row r="103">
      <x:c r="A103" s="22" t="n">
        <x:v>241</x:v>
      </x:c>
      <x:c r="B103" s="22" t="str">
        <x:v>Диканька</x:v>
      </x:c>
      <x:c r="C103" s="22" t="n">
        <x:v>2025</x:v>
      </x:c>
      <x:c r="D103" s="22" t="str">
        <x:v>ООО "ДИКАНЬКА"</x:v>
      </x:c>
      <x:c r="E103" s="22" t="str">
        <x:v>7456001807</x:v>
      </x:c>
      <x:c r="F103" s="23" t="n">
        <x:v>144505</x:v>
      </x:c>
      <x:c r="G103" s="23" t="str">
        <x:v>-</x:v>
      </x:c>
      <x:c r="H103" s="23" t="n">
        <x:v>0</x:v>
      </x:c>
      <x:c r="I103" s="23" t="n">
        <x:v>3220</x:v>
      </x:c>
      <x:c r="J103" s="22" t="str">
        <x:v>-</x:v>
      </x:c>
      <x:c r="K103" s="22" t="str">
        <x:v>2026-03-19</x:v>
      </x:c>
      <x:c r="L103" s="22" t="n">
        <x:v>27182069</x:v>
      </x:c>
      <x:c r="M103" s="22" t="str">
        <x:v>https://bo.nalog.gov.ru/organizations-card/7456001807</x:v>
      </x:c>
    </x:row>
    <x:row r="104">
      <x:c r="A104" s="22" t="n">
        <x:v>242</x:v>
      </x:c>
      <x:c r="B104" s="22" t="str">
        <x:v>СушиВесла</x:v>
      </x:c>
      <x:c r="C104" s="22" t="n">
        <x:v>2023</x:v>
      </x:c>
      <x:c r="D104" s="22" t="str">
        <x:v>ООО "УПРАВЛЯЮЩАЯ КОМПАНИЯ "СУШИВЕСЛА"</x:v>
      </x:c>
      <x:c r="E104" s="22" t="str">
        <x:v>3444210862</x:v>
      </x:c>
      <x:c r="F104" s="23" t="n">
        <x:v>158039</x:v>
      </x:c>
      <x:c r="G104" s="23" t="n">
        <x:v>144977</x:v>
      </x:c>
      <x:c r="H104" s="23" t="n">
        <x:v>26406</x:v>
      </x:c>
      <x:c r="I104" s="23" t="n">
        <x:v>0</x:v>
      </x:c>
      <x:c r="J104" s="22" t="str">
        <x:v>-</x:v>
      </x:c>
      <x:c r="K104" s="22" t="str">
        <x:v>2024-04-01</x:v>
      </x:c>
      <x:c r="L104" s="22" t="n">
        <x:v>22169609</x:v>
      </x:c>
      <x:c r="M104" s="22" t="str">
        <x:v>https://bo.nalog.gov.ru/organizations-card/3444210862</x:v>
      </x:c>
    </x:row>
    <x:row r="105">
      <x:c r="A105" s="22" t="n">
        <x:v>242</x:v>
      </x:c>
      <x:c r="B105" s="22" t="str">
        <x:v>СушиВесла</x:v>
      </x:c>
      <x:c r="C105" s="22" t="n">
        <x:v>2024</x:v>
      </x:c>
      <x:c r="D105" s="22" t="str">
        <x:v>ООО "УПРАВЛЯЮЩАЯ КОМПАНИЯ "СУШИВЕСЛА"</x:v>
      </x:c>
      <x:c r="E105" s="22" t="str">
        <x:v>3444210862</x:v>
      </x:c>
      <x:c r="F105" s="23" t="n">
        <x:v>173572</x:v>
      </x:c>
      <x:c r="G105" s="23" t="n">
        <x:v>173572</x:v>
      </x:c>
      <x:c r="H105" s="23" t="n">
        <x:v>16663</x:v>
      </x:c>
      <x:c r="I105" s="23" t="n">
        <x:v>0</x:v>
      </x:c>
      <x:c r="J105" s="22" t="str">
        <x:v>-</x:v>
      </x:c>
      <x:c r="K105" s="22" t="str">
        <x:v>2025-04-07</x:v>
      </x:c>
      <x:c r="L105" s="22" t="n">
        <x:v>25060620</x:v>
      </x:c>
      <x:c r="M105" s="22" t="str">
        <x:v>https://bo.nalog.gov.ru/organizations-card/3444210862</x:v>
      </x:c>
    </x:row>
    <x:row r="106">
      <x:c r="A106" s="22" t="n">
        <x:v>242</x:v>
      </x:c>
      <x:c r="B106" s="22" t="str">
        <x:v>СушиВесла</x:v>
      </x:c>
      <x:c r="C106" s="22" t="n">
        <x:v>2025</x:v>
      </x:c>
      <x:c r="D106" s="22" t="str">
        <x:v>ООО "УПРАВЛЯЮЩАЯ КОМПАНИЯ "СУШИВЕСЛА"</x:v>
      </x:c>
      <x:c r="E106" s="22" t="str">
        <x:v>3444210862</x:v>
      </x:c>
      <x:c r="F106" s="23" t="n">
        <x:v>166280</x:v>
      </x:c>
      <x:c r="G106" s="23" t="n">
        <x:v>166280</x:v>
      </x:c>
      <x:c r="H106" s="23" t="n">
        <x:v>7125</x:v>
      </x:c>
      <x:c r="I106" s="23" t="n">
        <x:v>0</x:v>
      </x:c>
      <x:c r="J106" s="22" t="str">
        <x:v>-</x:v>
      </x:c>
      <x:c r="K106" s="22" t="str">
        <x:v>2026-03-31</x:v>
      </x:c>
      <x:c r="L106" s="22" t="n">
        <x:v>29519626</x:v>
      </x:c>
      <x:c r="M106" s="22" t="str">
        <x:v>https://bo.nalog.gov.ru/organizations-card/3444210862</x:v>
      </x:c>
    </x:row>
    <x:row r="107">
      <x:c r="A107" s="22" t="n">
        <x:v>244</x:v>
      </x:c>
      <x:c r="B107" s="22" t="str">
        <x:v>БумБараш</x:v>
      </x:c>
      <x:c r="C107" s="22" t="n">
        <x:v>2023</x:v>
      </x:c>
      <x:c r="D107" s="22" t="str">
        <x:v>ООО "БУМБАРАШ БОЛЬШОЙ"</x:v>
      </x:c>
      <x:c r="E107" s="22" t="str">
        <x:v>2308275139</x:v>
      </x:c>
      <x:c r="F107" s="23" t="str">
        <x:v>-</x:v>
      </x:c>
      <x:c r="G107" s="23" t="str">
        <x:v>-</x:v>
      </x:c>
      <x:c r="H107" s="23" t="n">
        <x:v>0</x:v>
      </x:c>
      <x:c r="I107" s="23" t="n">
        <x:v>1229</x:v>
      </x:c>
      <x:c r="J107" s="22" t="str">
        <x:v>-</x:v>
      </x:c>
      <x:c r="K107" s="22" t="str">
        <x:v>2024-03-27</x:v>
      </x:c>
      <x:c r="L107" s="22" t="n">
        <x:v>21588775</x:v>
      </x:c>
      <x:c r="M107" s="22" t="str">
        <x:v>https://bo.nalog.gov.ru/organizations-card/2308275139</x:v>
      </x:c>
    </x:row>
    <x:row r="108">
      <x:c r="A108" s="22" t="n">
        <x:v>244</x:v>
      </x:c>
      <x:c r="B108" s="22" t="str">
        <x:v>БумБараш</x:v>
      </x:c>
      <x:c r="C108" s="22" t="n">
        <x:v>2024</x:v>
      </x:c>
      <x:c r="D108" s="22" t="str">
        <x:v>ООО "БУМБАРАШ БОЛЬШОЙ"</x:v>
      </x:c>
      <x:c r="E108" s="22" t="str">
        <x:v>2308275139</x:v>
      </x:c>
      <x:c r="F108" s="23" t="str">
        <x:v>-</x:v>
      </x:c>
      <x:c r="G108" s="23" t="str">
        <x:v>-</x:v>
      </x:c>
      <x:c r="H108" s="23" t="n">
        <x:v>0</x:v>
      </x:c>
      <x:c r="I108" s="23" t="n">
        <x:v>11</x:v>
      </x:c>
      <x:c r="J108" s="22" t="str">
        <x:v>-</x:v>
      </x:c>
      <x:c r="K108" s="22" t="str">
        <x:v>2025-03-18</x:v>
      </x:c>
      <x:c r="L108" s="22" t="n">
        <x:v>23758671</x:v>
      </x:c>
      <x:c r="M108" s="22" t="str">
        <x:v>https://bo.nalog.gov.ru/organizations-card/2308275139</x:v>
      </x:c>
    </x:row>
    <x:row r="109">
      <x:c r="A109" s="22" t="n">
        <x:v>244</x:v>
      </x:c>
      <x:c r="B109" s="22" t="str">
        <x:v>БумБараш</x:v>
      </x:c>
      <x:c r="C109" s="22" t="n">
        <x:v>2025</x:v>
      </x:c>
      <x:c r="D109" s="22" t="str">
        <x:v>ООО "БУМБАРАШ БОЛЬШОЙ"</x:v>
      </x:c>
      <x:c r="E109" s="22" t="str">
        <x:v>2308275139</x:v>
      </x:c>
      <x:c r="F109" s="23" t="n">
        <x:v>0</x:v>
      </x:c>
      <x:c r="G109" s="23" t="str">
        <x:v>-</x:v>
      </x:c>
      <x:c r="H109" s="23" t="n">
        <x:v>1453</x:v>
      </x:c>
      <x:c r="I109" s="23" t="n">
        <x:v>0</x:v>
      </x:c>
      <x:c r="J109" s="22" t="str">
        <x:v>-</x:v>
      </x:c>
      <x:c r="K109" s="22" t="str">
        <x:v>2026-02-19</x:v>
      </x:c>
      <x:c r="L109" s="22" t="n">
        <x:v>26181148</x:v>
      </x:c>
      <x:c r="M109" s="22" t="str">
        <x:v>https://bo.nalog.gov.ru/organizations-card/2308275139</x:v>
      </x:c>
    </x:row>
    <x:row r="110">
      <x:c r="A110" s="22" t="n">
        <x:v>246</x:v>
      </x:c>
      <x:c r="B110" s="22" t="str">
        <x:v>Чик Чак</x:v>
      </x:c>
      <x:c r="C110" s="22" t="n">
        <x:v>2023</x:v>
      </x:c>
      <x:c r="D110" s="22" t="str">
        <x:v>ООО "ЧАК-ЧАК"</x:v>
      </x:c>
      <x:c r="E110" s="22" t="str">
        <x:v>1655245067</x:v>
      </x:c>
      <x:c r="F110" s="23" t="n">
        <x:v>107076</x:v>
      </x:c>
      <x:c r="G110" s="23" t="str">
        <x:v>-</x:v>
      </x:c>
      <x:c r="H110" s="23" t="n">
        <x:v>333</x:v>
      </x:c>
      <x:c r="I110" s="23" t="n">
        <x:v>0</x:v>
      </x:c>
      <x:c r="J110" s="22" t="str">
        <x:v>-</x:v>
      </x:c>
      <x:c r="K110" s="22" t="str">
        <x:v>2024-04-06</x:v>
      </x:c>
      <x:c r="L110" s="22" t="n">
        <x:v>20321394</x:v>
      </x:c>
      <x:c r="M110" s="22" t="str">
        <x:v>https://bo.nalog.gov.ru/organizations-card/1655245067</x:v>
      </x:c>
    </x:row>
    <x:row r="111">
      <x:c r="A111" s="22" t="n">
        <x:v>246</x:v>
      </x:c>
      <x:c r="B111" s="22" t="str">
        <x:v>Чик Чак</x:v>
      </x:c>
      <x:c r="C111" s="22" t="n">
        <x:v>2024</x:v>
      </x:c>
      <x:c r="D111" s="22" t="str">
        <x:v>ООО "ЧАК-ЧАК"</x:v>
      </x:c>
      <x:c r="E111" s="22" t="str">
        <x:v>1655245067</x:v>
      </x:c>
      <x:c r="F111" s="23" t="n">
        <x:v>126884</x:v>
      </x:c>
      <x:c r="G111" s="23" t="str">
        <x:v>-</x:v>
      </x:c>
      <x:c r="H111" s="23" t="n">
        <x:v>0</x:v>
      </x:c>
      <x:c r="I111" s="23" t="n">
        <x:v>5074</x:v>
      </x:c>
      <x:c r="J111" s="22" t="str">
        <x:v>-</x:v>
      </x:c>
      <x:c r="K111" s="22" t="str">
        <x:v>2025-02-24</x:v>
      </x:c>
      <x:c r="L111" s="22" t="n">
        <x:v>23263975</x:v>
      </x:c>
      <x:c r="M111" s="22" t="str">
        <x:v>https://bo.nalog.gov.ru/organizations-card/1655245067</x:v>
      </x:c>
    </x:row>
    <x:row r="112">
      <x:c r="A112" s="22" t="n">
        <x:v>246</x:v>
      </x:c>
      <x:c r="B112" s="22" t="str">
        <x:v>Чик Чак</x:v>
      </x:c>
      <x:c r="C112" s="22" t="n">
        <x:v>2025</x:v>
      </x:c>
      <x:c r="D112" s="22" t="str">
        <x:v>ООО "ЧАК-ЧАК"</x:v>
      </x:c>
      <x:c r="E112" s="22" t="str">
        <x:v>1655245067</x:v>
      </x:c>
      <x:c r="F112" s="23" t="n">
        <x:v>149153</x:v>
      </x:c>
      <x:c r="G112" s="23" t="str">
        <x:v>-</x:v>
      </x:c>
      <x:c r="H112" s="23" t="n">
        <x:v>0</x:v>
      </x:c>
      <x:c r="I112" s="23" t="n">
        <x:v>1659</x:v>
      </x:c>
      <x:c r="J112" s="22" t="str">
        <x:v>-</x:v>
      </x:c>
      <x:c r="K112" s="22" t="str">
        <x:v>2026-02-27</x:v>
      </x:c>
      <x:c r="L112" s="22" t="n">
        <x:v>26331983</x:v>
      </x:c>
      <x:c r="M112" s="22" t="str">
        <x:v>https://bo.nalog.gov.ru/organizations-card/1655245067</x:v>
      </x:c>
    </x:row>
    <x:row r="113">
      <x:c r="A113" s="22" t="n">
        <x:v>248</x:v>
      </x:c>
      <x:c r="B113" s="22" t="str">
        <x:v>Джентльмены удачи</x:v>
      </x:c>
      <x:c r="C113" s="22" t="n">
        <x:v>2023</x:v>
      </x:c>
      <x:c r="D113" s="22" t="str">
        <x:v>ООО "ДЖЕНТЛЬМЕНЫ УДАЧИ"</x:v>
      </x:c>
      <x:c r="E113" s="22" t="str">
        <x:v>7813647044</x:v>
      </x:c>
      <x:c r="F113" s="23" t="n">
        <x:v>9993</x:v>
      </x:c>
      <x:c r="G113" s="23" t="str">
        <x:v>-</x:v>
      </x:c>
      <x:c r="H113" s="23" t="n">
        <x:v>1871</x:v>
      </x:c>
      <x:c r="I113" s="23" t="n">
        <x:v>0</x:v>
      </x:c>
      <x:c r="J113" s="22" t="str">
        <x:v>-</x:v>
      </x:c>
      <x:c r="K113" s="22" t="str">
        <x:v>2024-04-01</x:v>
      </x:c>
      <x:c r="L113" s="22" t="n">
        <x:v>22146529</x:v>
      </x:c>
      <x:c r="M113" s="22" t="str">
        <x:v>https://bo.nalog.gov.ru/organizations-card/7813647044</x:v>
      </x:c>
    </x:row>
    <x:row r="114">
      <x:c r="A114" s="22" t="n">
        <x:v>248</x:v>
      </x:c>
      <x:c r="B114" s="22" t="str">
        <x:v>Джентльмены удачи</x:v>
      </x:c>
      <x:c r="C114" s="22" t="n">
        <x:v>2024</x:v>
      </x:c>
      <x:c r="D114" s="22" t="str">
        <x:v>ООО "ДЖЕНТЛЬМЕНЫ УДАЧИ"</x:v>
      </x:c>
      <x:c r="E114" s="22" t="str">
        <x:v>7813647044</x:v>
      </x:c>
      <x:c r="F114" s="23" t="n">
        <x:v>9655</x:v>
      </x:c>
      <x:c r="G114" s="23" t="str">
        <x:v>-</x:v>
      </x:c>
      <x:c r="H114" s="23" t="n">
        <x:v>0</x:v>
      </x:c>
      <x:c r="I114" s="23" t="n">
        <x:v>30</x:v>
      </x:c>
      <x:c r="J114" s="22" t="str">
        <x:v>-</x:v>
      </x:c>
      <x:c r="K114" s="22" t="str">
        <x:v>2025-03-31</x:v>
      </x:c>
      <x:c r="L114" s="22" t="n">
        <x:v>25160225</x:v>
      </x:c>
      <x:c r="M114" s="22" t="str">
        <x:v>https://bo.nalog.gov.ru/organizations-card/7813647044</x:v>
      </x:c>
    </x:row>
    <x:row r="115">
      <x:c r="A115" s="22" t="n">
        <x:v>248</x:v>
      </x:c>
      <x:c r="B115" s="22" t="str">
        <x:v>Джентльмены удачи</x:v>
      </x:c>
      <x:c r="C115" s="22" t="n">
        <x:v>2025</x:v>
      </x:c>
      <x:c r="D115" s="22" t="str">
        <x:v>ООО "ДЖЕНТЛЬМЕНЫ УДАЧИ"</x:v>
      </x:c>
      <x:c r="E115" s="22" t="str">
        <x:v>7813647044</x:v>
      </x:c>
      <x:c r="F115" s="23" t="n">
        <x:v>0</x:v>
      </x:c>
      <x:c r="G115" s="23" t="str">
        <x:v>-</x:v>
      </x:c>
      <x:c r="H115" s="23" t="n">
        <x:v>0</x:v>
      </x:c>
      <x:c r="I115" s="23" t="n">
        <x:v>1024</x:v>
      </x:c>
      <x:c r="J115" s="22" t="str">
        <x:v>-</x:v>
      </x:c>
      <x:c r="K115" s="22" t="str">
        <x:v>2026-04-14</x:v>
      </x:c>
      <x:c r="L115" s="22" t="n">
        <x:v>30152689</x:v>
      </x:c>
      <x:c r="M115" s="22" t="str">
        <x:v>https://bo.nalog.gov.ru/organizations-card/7813647044</x:v>
      </x:c>
    </x:row>
    <x:row r="116">
      <x:c r="A116" s="22" t="n">
        <x:v>249</x:v>
      </x:c>
      <x:c r="B116" s="22" t="str">
        <x:v>МЯСО&amp;РЫБА</x:v>
      </x:c>
      <x:c r="C116" s="22" t="n">
        <x:v>2023</x:v>
      </x:c>
      <x:c r="D116" s="22" t="str">
        <x:v>ООО "МЯСО И РЫБА КАШИРКА"</x:v>
      </x:c>
      <x:c r="E116" s="22" t="str">
        <x:v>7702421877</x:v>
      </x:c>
      <x:c r="F116" s="23" t="n">
        <x:v>230191</x:v>
      </x:c>
      <x:c r="G116" s="23" t="str">
        <x:v>-</x:v>
      </x:c>
      <x:c r="H116" s="23" t="n">
        <x:v>20823</x:v>
      </x:c>
      <x:c r="I116" s="23" t="n">
        <x:v>0</x:v>
      </x:c>
      <x:c r="J116" s="22" t="str">
        <x:v>-</x:v>
      </x:c>
      <x:c r="K116" s="22" t="str">
        <x:v>2024-03-22</x:v>
      </x:c>
      <x:c r="L116" s="22" t="n">
        <x:v>21233669</x:v>
      </x:c>
      <x:c r="M116" s="22" t="str">
        <x:v>https://bo.nalog.gov.ru/organizations-card/7702421877</x:v>
      </x:c>
    </x:row>
    <x:row r="117">
      <x:c r="A117" s="22" t="n">
        <x:v>249</x:v>
      </x:c>
      <x:c r="B117" s="22" t="str">
        <x:v>МЯСО&amp;РЫБА</x:v>
      </x:c>
      <x:c r="C117" s="22" t="n">
        <x:v>2024</x:v>
      </x:c>
      <x:c r="D117" s="22" t="str">
        <x:v>ООО "МЯСО И РЫБА КАШИРКА"</x:v>
      </x:c>
      <x:c r="E117" s="22" t="str">
        <x:v>7702421877</x:v>
      </x:c>
      <x:c r="F117" s="23" t="n">
        <x:v>250436</x:v>
      </x:c>
      <x:c r="G117" s="23" t="str">
        <x:v>-</x:v>
      </x:c>
      <x:c r="H117" s="23" t="n">
        <x:v>9998</x:v>
      </x:c>
      <x:c r="I117" s="23" t="n">
        <x:v>0</x:v>
      </x:c>
      <x:c r="J117" s="22" t="str">
        <x:v>-</x:v>
      </x:c>
      <x:c r="K117" s="22" t="str">
        <x:v>2025-03-26</x:v>
      </x:c>
      <x:c r="L117" s="22" t="n">
        <x:v>24391549</x:v>
      </x:c>
      <x:c r="M117" s="22" t="str">
        <x:v>https://bo.nalog.gov.ru/organizations-card/7702421877</x:v>
      </x:c>
    </x:row>
    <x:row r="118">
      <x:c r="A118" s="22" t="n">
        <x:v>249</x:v>
      </x:c>
      <x:c r="B118" s="22" t="str">
        <x:v>МЯСО&amp;РЫБА</x:v>
      </x:c>
      <x:c r="C118" s="22" t="n">
        <x:v>2025</x:v>
      </x:c>
      <x:c r="D118" s="22" t="str">
        <x:v>ООО "МЯСО И РЫБА КАШИРКА"</x:v>
      </x:c>
      <x:c r="E118" s="22" t="str">
        <x:v>7702421877</x:v>
      </x:c>
      <x:c r="F118" s="23" t="n">
        <x:v>250089</x:v>
      </x:c>
      <x:c r="G118" s="23" t="str">
        <x:v>-</x:v>
      </x:c>
      <x:c r="H118" s="23" t="n">
        <x:v>0</x:v>
      </x:c>
      <x:c r="I118" s="23" t="n">
        <x:v>1798</x:v>
      </x:c>
      <x:c r="J118" s="22" t="str">
        <x:v>-</x:v>
      </x:c>
      <x:c r="K118" s="22" t="str">
        <x:v>2026-03-20</x:v>
      </x:c>
      <x:c r="L118" s="22" t="n">
        <x:v>27355877</x:v>
      </x:c>
      <x:c r="M118" s="22" t="str">
        <x:v>https://bo.nalog.gov.ru/organizations-card/7702421877</x:v>
      </x:c>
    </x:row>
    <x:row r="119">
      <x:c r="A119" s="22" t="n">
        <x:v>250</x:v>
      </x:c>
      <x:c r="B119" s="22" t="str">
        <x:v>Любим печь</x:v>
      </x:c>
      <x:c r="C119" s="22" t="n">
        <x:v>2023</x:v>
      </x:c>
      <x:c r="D119" s="22" t="str">
        <x:v>ООО ФИРМА "ПЕЧЬ"</x:v>
      </x:c>
      <x:c r="E119" s="22" t="str">
        <x:v>2365031146</x:v>
      </x:c>
      <x:c r="F119" s="23" t="n">
        <x:v>2807</x:v>
      </x:c>
      <x:c r="G119" s="23" t="n">
        <x:v>744</x:v>
      </x:c>
      <x:c r="H119" s="23" t="n">
        <x:v>597</x:v>
      </x:c>
      <x:c r="I119" s="23" t="n">
        <x:v>0</x:v>
      </x:c>
      <x:c r="J119" s="22" t="str">
        <x:v>-</x:v>
      </x:c>
      <x:c r="K119" s="22" t="str">
        <x:v>2024-03-21</x:v>
      </x:c>
      <x:c r="L119" s="22" t="n">
        <x:v>21084480</x:v>
      </x:c>
      <x:c r="M119" s="22" t="str">
        <x:v>https://bo.nalog.gov.ru/organizations-card/2365031146</x:v>
      </x:c>
    </x:row>
    <x:row r="120">
      <x:c r="A120" s="22" t="n">
        <x:v>250</x:v>
      </x:c>
      <x:c r="B120" s="22" t="str">
        <x:v>Любим печь</x:v>
      </x:c>
      <x:c r="C120" s="22" t="n">
        <x:v>2024</x:v>
      </x:c>
      <x:c r="D120" s="22" t="str">
        <x:v>ООО ФИРМА "ПЕЧЬ"</x:v>
      </x:c>
      <x:c r="E120" s="22" t="str">
        <x:v>2365031146</x:v>
      </x:c>
      <x:c r="F120" s="23" t="n">
        <x:v>5661</x:v>
      </x:c>
      <x:c r="G120" s="23" t="n">
        <x:v>820</x:v>
      </x:c>
      <x:c r="H120" s="23" t="n">
        <x:v>447</x:v>
      </x:c>
      <x:c r="I120" s="23" t="n">
        <x:v>0</x:v>
      </x:c>
      <x:c r="J120" s="22" t="str">
        <x:v>-</x:v>
      </x:c>
      <x:c r="K120" s="22" t="str">
        <x:v>2025-03-17</x:v>
      </x:c>
      <x:c r="L120" s="22" t="n">
        <x:v>23718106</x:v>
      </x:c>
      <x:c r="M120" s="22" t="str">
        <x:v>https://bo.nalog.gov.ru/organizations-card/2365031146</x:v>
      </x:c>
    </x:row>
    <x:row r="121">
      <x:c r="A121" s="22" t="n">
        <x:v>250</x:v>
      </x:c>
      <x:c r="B121" s="22" t="str">
        <x:v>Любим печь</x:v>
      </x:c>
      <x:c r="C121" s="22" t="n">
        <x:v>2025</x:v>
      </x:c>
      <x:c r="D121" s="22" t="str">
        <x:v>ООО ФИРМА "ПЕЧЬ"</x:v>
      </x:c>
      <x:c r="E121" s="22" t="str">
        <x:v>2365031146</x:v>
      </x:c>
      <x:c r="F121" s="23" t="n">
        <x:v>6016</x:v>
      </x:c>
      <x:c r="G121" s="23" t="n">
        <x:v>-289</x:v>
      </x:c>
      <x:c r="H121" s="23" t="n">
        <x:v>0</x:v>
      </x:c>
      <x:c r="I121" s="23" t="n">
        <x:v>484</x:v>
      </x:c>
      <x:c r="J121" s="22" t="str">
        <x:v>-</x:v>
      </x:c>
      <x:c r="K121" s="22" t="str">
        <x:v>2026-03-23</x:v>
      </x:c>
      <x:c r="L121" s="22" t="n">
        <x:v>27592619</x:v>
      </x:c>
      <x:c r="M121" s="22" t="str">
        <x:v>https://bo.nalog.gov.ru/organizations-card/2365031146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0000114440918" hidden="0" customWidth="1"/>
    <x:col min="2" max="2" width="10.630000114440918" hidden="0" customWidth="1"/>
    <x:col min="3" max="3" width="8.75" hidden="0" customWidth="1"/>
    <x:col min="4" max="4" width="21.25" hidden="0" customWidth="1"/>
    <x:col min="5" max="5" width="35.630001068115234" hidden="0" customWidth="1"/>
    <x:col min="6" max="6" width="15" hidden="0" customWidth="1"/>
    <x:col min="7" max="7" width="11.880000114440918" hidden="0" customWidth="1"/>
    <x:col min="8" max="8" width="16.8799991607666" hidden="0" customWidth="1"/>
    <x:col min="9" max="9" width="16.8799991607666" hidden="0" customWidth="1"/>
    <x:col min="10" max="10" width="16.8799991607666" hidden="0" customWidth="1"/>
    <x:col min="11" max="11" width="15" hidden="0" customWidth="1"/>
  </x:cols>
  <x:sheetData>
    <x:row r="1">
      <x:c r="A1" s="18" t="str">
        <x:v>Ранг</x:v>
      </x:c>
      <x:c r="B1" s="18" t="str">
        <x:v>Группа топ-6</x:v>
      </x:c>
      <x:c r="C1" s="18" t="str">
        <x:v>Строка</x:v>
      </x:c>
      <x:c r="D1" s="18" t="str">
        <x:v>Название</x:v>
      </x:c>
      <x:c r="E1" s="18" t="str">
        <x:v>Юрлицо</x:v>
      </x:c>
      <x:c r="F1" s="18" t="str">
        <x:v>ИНН</x:v>
      </x:c>
      <x:c r="G1" s="18" t="str">
        <x:v>Эффективность, %</x:v>
      </x:c>
      <x:c r="H1" s="18" t="str">
        <x:v>Сумма чистой прибыли</x:v>
      </x:c>
      <x:c r="I1" s="18" t="str">
        <x:v>Сумма чистого убытка</x:v>
      </x:c>
      <x:c r="J1" s="18" t="str">
        <x:v>Выручка 2023-2025</x:v>
      </x:c>
      <x:c r="K1" s="18" t="str">
        <x:v>Надежность</x:v>
      </x:c>
    </x:row>
    <x:row r="2">
      <x:c r="A2" s="19" t="n">
        <x:v>1</x:v>
      </x:c>
      <x:c r="B2" s="19" t="str">
        <x:v>-</x:v>
      </x:c>
      <x:c r="C2" s="19" t="n">
        <x:v>165</x:v>
      </x:c>
      <x:c r="D2" s="19" t="str">
        <x:v>Вкусно — и точка</x:v>
      </x:c>
      <x:c r="E2" s="19" t="str">
        <x:v>ООО "СИСТЕМА ПБО"</x:v>
      </x:c>
      <x:c r="F2" s="19" t="str">
        <x:v>7710044140</x:v>
      </x:c>
      <x:c r="G2" s="21" t="n">
        <x:v>100</x:v>
      </x:c>
      <x:c r="H2" s="20" t="n">
        <x:v>45539415</x:v>
      </x:c>
      <x:c r="I2" s="20" t="n">
        <x:v>0</x:v>
      </x:c>
      <x:c r="J2" s="20" t="n">
        <x:v>561676070</x:v>
      </x:c>
      <x:c r="K2" s="19" t="str">
        <x:v>высокая</x:v>
      </x:c>
    </x:row>
    <x:row r="3">
      <x:c r="A3" s="19" t="n">
        <x:v>2</x:v>
      </x:c>
      <x:c r="B3" s="19" t="str">
        <x:v>-</x:v>
      </x:c>
      <x:c r="C3" s="19" t="n">
        <x:v>172</x:v>
      </x:c>
      <x:c r="D3" s="19" t="str">
        <x:v>Вкусно — и точка</x:v>
      </x:c>
      <x:c r="E3" s="19" t="str">
        <x:v>ООО "СИСТЕМА ПБО"</x:v>
      </x:c>
      <x:c r="F3" s="19" t="str">
        <x:v>7710044140</x:v>
      </x:c>
      <x:c r="G3" s="21" t="n">
        <x:v>100</x:v>
      </x:c>
      <x:c r="H3" s="20" t="n">
        <x:v>45539415</x:v>
      </x:c>
      <x:c r="I3" s="20" t="n">
        <x:v>0</x:v>
      </x:c>
      <x:c r="J3" s="20" t="n">
        <x:v>561676070</x:v>
      </x:c>
      <x:c r="K3" s="19" t="str">
        <x:v>высокая</x:v>
      </x:c>
    </x:row>
    <x:row r="4">
      <x:c r="A4" s="19" t="n">
        <x:v>3</x:v>
      </x:c>
      <x:c r="B4" s="19" t="str">
        <x:v>2 макс</x:v>
      </x:c>
      <x:c r="C4" s="19" t="n">
        <x:v>187</x:v>
      </x:c>
      <x:c r="D4" s="19" t="str">
        <x:v>Вкусно — и точка</x:v>
      </x:c>
      <x:c r="E4" s="19" t="str">
        <x:v>ООО "СИСТЕМА ПБО"</x:v>
      </x:c>
      <x:c r="F4" s="19" t="str">
        <x:v>7710044140</x:v>
      </x:c>
      <x:c r="G4" s="21" t="n">
        <x:v>100</x:v>
      </x:c>
      <x:c r="H4" s="20" t="n">
        <x:v>45539415</x:v>
      </x:c>
      <x:c r="I4" s="20" t="n">
        <x:v>0</x:v>
      </x:c>
      <x:c r="J4" s="20" t="n">
        <x:v>561676070</x:v>
      </x:c>
      <x:c r="K4" s="19" t="str">
        <x:v>высокая</x:v>
      </x:c>
    </x:row>
    <x:row r="5">
      <x:c r="A5" s="19" t="n">
        <x:v>4</x:v>
      </x:c>
      <x:c r="B5" s="19" t="str">
        <x:v>-</x:v>
      </x:c>
      <x:c r="C5" s="19" t="n">
        <x:v>222</x:v>
      </x:c>
      <x:c r="D5" s="19" t="str">
        <x:v>Вкусно — и точка</x:v>
      </x:c>
      <x:c r="E5" s="19" t="str">
        <x:v>ООО "СИСТЕМА ПБО"</x:v>
      </x:c>
      <x:c r="F5" s="19" t="str">
        <x:v>7710044140</x:v>
      </x:c>
      <x:c r="G5" s="21" t="n">
        <x:v>100</x:v>
      </x:c>
      <x:c r="H5" s="20" t="n">
        <x:v>45539415</x:v>
      </x:c>
      <x:c r="I5" s="20" t="n">
        <x:v>0</x:v>
      </x:c>
      <x:c r="J5" s="20" t="n">
        <x:v>561676070</x:v>
      </x:c>
      <x:c r="K5" s="19" t="str">
        <x:v>высокая</x:v>
      </x:c>
    </x:row>
    <x:row r="6">
      <x:c r="A6" s="19" t="n">
        <x:v>5</x:v>
      </x:c>
      <x:c r="B6" s="19" t="str">
        <x:v>-</x:v>
      </x:c>
      <x:c r="C6" s="19" t="n">
        <x:v>198</x:v>
      </x:c>
      <x:c r="D6" s="19" t="str">
        <x:v>Rostic's</x:v>
      </x:c>
      <x:c r="E6" s="19" t="str">
        <x:v>ООО "ЮНИРЕСТ"</x:v>
      </x:c>
      <x:c r="F6" s="19" t="str">
        <x:v>7722561551</x:v>
      </x:c>
      <x:c r="G6" s="21" t="n">
        <x:v>100</x:v>
      </x:c>
      <x:c r="H6" s="20" t="n">
        <x:v>13334190</x:v>
      </x:c>
      <x:c r="I6" s="20" t="n">
        <x:v>0</x:v>
      </x:c>
      <x:c r="J6" s="20" t="n">
        <x:v>76912835</x:v>
      </x:c>
      <x:c r="K6" s="19" t="str">
        <x:v>средняя</x:v>
      </x:c>
    </x:row>
    <x:row r="7">
      <x:c r="A7" s="19" t="n">
        <x:v>6</x:v>
      </x:c>
      <x:c r="B7" s="19" t="str">
        <x:v>2 макс</x:v>
      </x:c>
      <x:c r="C7" s="19" t="n">
        <x:v>223</x:v>
      </x:c>
      <x:c r="D7" s="19" t="str">
        <x:v>Rostic's</x:v>
      </x:c>
      <x:c r="E7" s="19" t="str">
        <x:v>ООО "ЮНИРЕСТ"</x:v>
      </x:c>
      <x:c r="F7" s="19" t="str">
        <x:v>7722561551</x:v>
      </x:c>
      <x:c r="G7" s="21" t="n">
        <x:v>100</x:v>
      </x:c>
      <x:c r="H7" s="20" t="n">
        <x:v>13334190</x:v>
      </x:c>
      <x:c r="I7" s="20" t="n">
        <x:v>0</x:v>
      </x:c>
      <x:c r="J7" s="20" t="n">
        <x:v>76912835</x:v>
      </x:c>
      <x:c r="K7" s="19" t="str">
        <x:v>средняя</x:v>
      </x:c>
    </x:row>
    <x:row r="8">
      <x:c r="A8" s="19" t="n">
        <x:v>7</x:v>
      </x:c>
      <x:c r="B8" s="19" t="str">
        <x:v>-</x:v>
      </x:c>
      <x:c r="C8" s="19" t="n">
        <x:v>224</x:v>
      </x:c>
      <x:c r="D8" s="19" t="str">
        <x:v>Rostic's</x:v>
      </x:c>
      <x:c r="E8" s="19" t="str">
        <x:v>ООО "ЮНИРЕСТ"</x:v>
      </x:c>
      <x:c r="F8" s="19" t="str">
        <x:v>7722561551</x:v>
      </x:c>
      <x:c r="G8" s="21" t="n">
        <x:v>100</x:v>
      </x:c>
      <x:c r="H8" s="20" t="n">
        <x:v>13334190</x:v>
      </x:c>
      <x:c r="I8" s="20" t="n">
        <x:v>0</x:v>
      </x:c>
      <x:c r="J8" s="20" t="n">
        <x:v>76912835</x:v>
      </x:c>
      <x:c r="K8" s="19" t="str">
        <x:v>средняя</x:v>
      </x:c>
    </x:row>
    <x:row r="9">
      <x:c r="A9" s="19" t="n">
        <x:v>8</x:v>
      </x:c>
      <x:c r="B9" s="19" t="str">
        <x:v>-</x:v>
      </x:c>
      <x:c r="C9" s="19" t="n">
        <x:v>233</x:v>
      </x:c>
      <x:c r="D9" s="19" t="str">
        <x:v>Rostic's</x:v>
      </x:c>
      <x:c r="E9" s="19" t="str">
        <x:v>ООО "ЮНИРЕСТ"</x:v>
      </x:c>
      <x:c r="F9" s="19" t="str">
        <x:v>7722561551</x:v>
      </x:c>
      <x:c r="G9" s="21" t="n">
        <x:v>100</x:v>
      </x:c>
      <x:c r="H9" s="20" t="n">
        <x:v>13334190</x:v>
      </x:c>
      <x:c r="I9" s="20" t="n">
        <x:v>0</x:v>
      </x:c>
      <x:c r="J9" s="20" t="n">
        <x:v>76912835</x:v>
      </x:c>
      <x:c r="K9" s="19" t="str">
        <x:v>средняя</x:v>
      </x:c>
    </x:row>
    <x:row r="10">
      <x:c r="A10" s="19" t="n">
        <x:v>9</x:v>
      </x:c>
      <x:c r="B10" s="19" t="str">
        <x:v>-</x:v>
      </x:c>
      <x:c r="C10" s="19" t="n">
        <x:v>184</x:v>
      </x:c>
      <x:c r="D10" s="19" t="str">
        <x:v>Бургер Кинг</x:v>
      </x:c>
      <x:c r="E10" s="19" t="str">
        <x:v>ООО "БУРГЕР РУС"</x:v>
      </x:c>
      <x:c r="F10" s="19" t="str">
        <x:v>7719723690</x:v>
      </x:c>
      <x:c r="G10" s="21" t="n">
        <x:v>100</x:v>
      </x:c>
      <x:c r="H10" s="20" t="n">
        <x:v>4071754</x:v>
      </x:c>
      <x:c r="I10" s="20" t="n">
        <x:v>0</x:v>
      </x:c>
      <x:c r="J10" s="20" t="n">
        <x:v>268674930</x:v>
      </x:c>
      <x:c r="K10" s="19" t="str">
        <x:v>средняя</x:v>
      </x:c>
    </x:row>
    <x:row r="11">
      <x:c r="A11" s="19" t="n">
        <x:v>10</x:v>
      </x:c>
      <x:c r="B11" s="19" t="str">
        <x:v>-</x:v>
      </x:c>
      <x:c r="C11" s="19" t="n">
        <x:v>236</x:v>
      </x:c>
      <x:c r="D11" s="19" t="str">
        <x:v>Бургер Кинг</x:v>
      </x:c>
      <x:c r="E11" s="19" t="str">
        <x:v>ООО "БУРГЕР РУС"</x:v>
      </x:c>
      <x:c r="F11" s="19" t="str">
        <x:v>7719723690</x:v>
      </x:c>
      <x:c r="G11" s="21" t="n">
        <x:v>100</x:v>
      </x:c>
      <x:c r="H11" s="20" t="n">
        <x:v>4071754</x:v>
      </x:c>
      <x:c r="I11" s="20" t="n">
        <x:v>0</x:v>
      </x:c>
      <x:c r="J11" s="20" t="n">
        <x:v>268674930</x:v>
      </x:c>
      <x:c r="K11" s="19" t="str">
        <x:v>средняя</x:v>
      </x:c>
    </x:row>
    <x:row r="12">
      <x:c r="A12" s="19" t="n">
        <x:v>11</x:v>
      </x:c>
      <x:c r="B12" s="19" t="str">
        <x:v>-</x:v>
      </x:c>
      <x:c r="C12" s="19" t="n">
        <x:v>193</x:v>
      </x:c>
      <x:c r="D12" s="19" t="str">
        <x:v>СушиВесла</x:v>
      </x:c>
      <x:c r="E12" s="19" t="str">
        <x:v>ООО "УПРАВЛЯЮЩАЯ КОМПАНИЯ "СУШИВЕСЛА"</x:v>
      </x:c>
      <x:c r="F12" s="19" t="str">
        <x:v>3444210862</x:v>
      </x:c>
      <x:c r="G12" s="21" t="n">
        <x:v>100</x:v>
      </x:c>
      <x:c r="H12" s="20" t="n">
        <x:v>50194</x:v>
      </x:c>
      <x:c r="I12" s="20" t="n">
        <x:v>0</x:v>
      </x:c>
      <x:c r="J12" s="20" t="n">
        <x:v>497891</x:v>
      </x:c>
      <x:c r="K12" s="19" t="str">
        <x:v>средняя</x:v>
      </x:c>
    </x:row>
    <x:row r="13">
      <x:c r="A13" s="19" t="n">
        <x:v>12</x:v>
      </x:c>
      <x:c r="B13" s="19" t="str">
        <x:v>-</x:v>
      </x:c>
      <x:c r="C13" s="19" t="n">
        <x:v>242</x:v>
      </x:c>
      <x:c r="D13" s="19" t="str">
        <x:v>СушиВесла</x:v>
      </x:c>
      <x:c r="E13" s="19" t="str">
        <x:v>ООО "УПРАВЛЯЮЩАЯ КОМПАНИЯ "СУШИВЕСЛА"</x:v>
      </x:c>
      <x:c r="F13" s="19" t="str">
        <x:v>3444210862</x:v>
      </x:c>
      <x:c r="G13" s="21" t="n">
        <x:v>100</x:v>
      </x:c>
      <x:c r="H13" s="20" t="n">
        <x:v>50194</x:v>
      </x:c>
      <x:c r="I13" s="20" t="n">
        <x:v>0</x:v>
      </x:c>
      <x:c r="J13" s="20" t="n">
        <x:v>497891</x:v>
      </x:c>
      <x:c r="K13" s="19" t="str">
        <x:v>средняя</x:v>
      </x:c>
    </x:row>
    <x:row r="14">
      <x:c r="A14" s="19" t="n">
        <x:v>13</x:v>
      </x:c>
      <x:c r="B14" s="19" t="str">
        <x:v>-</x:v>
      </x:c>
      <x:c r="C14" s="19" t="n">
        <x:v>229</x:v>
      </x:c>
      <x:c r="D14" s="19" t="str">
        <x:v>Сели Поели</x:v>
      </x:c>
      <x:c r="E14" s="19" t="str">
        <x:v>ООО "СЕЛИ-ПОЕЛИ"</x:v>
      </x:c>
      <x:c r="F14" s="19" t="str">
        <x:v>4345454394</x:v>
      </x:c>
      <x:c r="G14" s="21" t="n">
        <x:v>100</x:v>
      </x:c>
      <x:c r="H14" s="20" t="n">
        <x:v>41535</x:v>
      </x:c>
      <x:c r="I14" s="20" t="n">
        <x:v>0</x:v>
      </x:c>
      <x:c r="J14" s="20" t="n">
        <x:v>253596</x:v>
      </x:c>
      <x:c r="K14" s="19" t="str">
        <x:v>средняя</x:v>
      </x:c>
    </x:row>
    <x:row r="15">
      <x:c r="A15" s="19" t="n">
        <x:v>14</x:v>
      </x:c>
      <x:c r="B15" s="19" t="str">
        <x:v>-</x:v>
      </x:c>
      <x:c r="C15" s="19" t="n">
        <x:v>216</x:v>
      </x:c>
      <x:c r="D15" s="19" t="str">
        <x:v>Лейка&amp;Кофейка</x:v>
      </x:c>
      <x:c r="E15" s="19" t="str">
        <x:v>ООО "КОФЕЙКА"</x:v>
      </x:c>
      <x:c r="F15" s="19" t="str">
        <x:v>7743052121</x:v>
      </x:c>
      <x:c r="G15" s="21" t="n">
        <x:v>100</x:v>
      </x:c>
      <x:c r="H15" s="20" t="n">
        <x:v>21625</x:v>
      </x:c>
      <x:c r="I15" s="20" t="n">
        <x:v>0</x:v>
      </x:c>
      <x:c r="J15" s="20" t="n">
        <x:v>261021</x:v>
      </x:c>
      <x:c r="K15" s="19" t="str">
        <x:v>низкая</x:v>
      </x:c>
    </x:row>
    <x:row r="16">
      <x:c r="A16" s="19" t="n">
        <x:v>15</x:v>
      </x:c>
      <x:c r="B16" s="19" t="str">
        <x:v>-</x:v>
      </x:c>
      <x:c r="C16" s="19" t="n">
        <x:v>209</x:v>
      </x:c>
      <x:c r="D16" s="19" t="str">
        <x:v>Искусство и Кофе</x:v>
      </x:c>
      <x:c r="E16" s="19" t="str">
        <x:v>ООО "ИСКУССТВО"</x:v>
      </x:c>
      <x:c r="F16" s="19" t="str">
        <x:v>0278981187</x:v>
      </x:c>
      <x:c r="G16" s="21" t="n">
        <x:v>100</x:v>
      </x:c>
      <x:c r="H16" s="20" t="n">
        <x:v>5662</x:v>
      </x:c>
      <x:c r="I16" s="20" t="n">
        <x:v>0</x:v>
      </x:c>
      <x:c r="J16" s="20" t="n">
        <x:v>45421</x:v>
      </x:c>
      <x:c r="K16" s="19" t="str">
        <x:v>низкая</x:v>
      </x:c>
    </x:row>
    <x:row r="17">
      <x:c r="A17" s="19" t="n">
        <x:v>16</x:v>
      </x:c>
      <x:c r="B17" s="19" t="str">
        <x:v>-</x:v>
      </x:c>
      <x:c r="C17" s="19" t="n">
        <x:v>163</x:v>
      </x:c>
      <x:c r="D17" s="19" t="str">
        <x:v>Сноб Кофе</x:v>
      </x:c>
      <x:c r="E17" s="19" t="str">
        <x:v>ООО "КОФЕ-ФЕ"</x:v>
      </x:c>
      <x:c r="F17" s="19" t="str">
        <x:v>2204088208</x:v>
      </x:c>
      <x:c r="G17" s="21" t="n">
        <x:v>100</x:v>
      </x:c>
      <x:c r="H17" s="20" t="n">
        <x:v>1189</x:v>
      </x:c>
      <x:c r="I17" s="20" t="n">
        <x:v>0</x:v>
      </x:c>
      <x:c r="J17" s="20" t="n">
        <x:v>35621</x:v>
      </x:c>
      <x:c r="K17" s="19" t="str">
        <x:v>низкая</x:v>
      </x:c>
    </x:row>
    <x:row r="18">
      <x:c r="A18" s="19" t="n">
        <x:v>17</x:v>
      </x:c>
      <x:c r="B18" s="19" t="str">
        <x:v>-</x:v>
      </x:c>
      <x:c r="C18" s="19" t="n">
        <x:v>204</x:v>
      </x:c>
      <x:c r="D18" s="19" t="str">
        <x:v>Маленькая Азия</x:v>
      </x:c>
      <x:c r="E18" s="19" t="str">
        <x:v>ООО "МАЛЕНЬКАЯ АЗИЯ"</x:v>
      </x:c>
      <x:c r="F18" s="19" t="str">
        <x:v>4909126110</x:v>
      </x:c>
      <x:c r="G18" s="21" t="n">
        <x:v>100</x:v>
      </x:c>
      <x:c r="H18" s="20" t="n">
        <x:v>1081</x:v>
      </x:c>
      <x:c r="I18" s="20" t="n">
        <x:v>0</x:v>
      </x:c>
      <x:c r="J18" s="20" t="n">
        <x:v>32175</x:v>
      </x:c>
      <x:c r="K18" s="19" t="str">
        <x:v>средняя</x:v>
      </x:c>
    </x:row>
    <x:row r="19">
      <x:c r="A19" s="19" t="n">
        <x:v>18</x:v>
      </x:c>
      <x:c r="B19" s="19" t="str">
        <x:v>-</x:v>
      </x:c>
      <x:c r="C19" s="19" t="n">
        <x:v>238</x:v>
      </x:c>
      <x:c r="D19" s="19" t="str">
        <x:v>Старик Хинкалыч</x:v>
      </x:c>
      <x:c r="E19" s="19" t="str">
        <x:v>ООО "СТАРИК ХИНКАЛЫЧ"</x:v>
      </x:c>
      <x:c r="F19" s="19" t="str">
        <x:v>9201517469</x:v>
      </x:c>
      <x:c r="G19" s="21" t="n">
        <x:v>100</x:v>
      </x:c>
      <x:c r="H19" s="20" t="n">
        <x:v>1044</x:v>
      </x:c>
      <x:c r="I19" s="20" t="n">
        <x:v>0</x:v>
      </x:c>
      <x:c r="J19" s="20" t="n">
        <x:v>22912</x:v>
      </x:c>
      <x:c r="K19" s="19" t="str">
        <x:v>низкая</x:v>
      </x:c>
    </x:row>
    <x:row r="20">
      <x:c r="A20" s="19" t="n">
        <x:v>19</x:v>
      </x:c>
      <x:c r="B20" s="19" t="str">
        <x:v>-</x:v>
      </x:c>
      <x:c r="C20" s="19" t="n">
        <x:v>208</x:v>
      </x:c>
      <x:c r="D20" s="19" t="str">
        <x:v>Шаурма Дубай</x:v>
      </x:c>
      <x:c r="E20" s="19" t="str">
        <x:v>ООО "ДУБАЙ"</x:v>
      </x:c>
      <x:c r="F20" s="19" t="str">
        <x:v>2320250638</x:v>
      </x:c>
      <x:c r="G20" s="21" t="n">
        <x:v>100</x:v>
      </x:c>
      <x:c r="H20" s="20" t="n">
        <x:v>1015</x:v>
      </x:c>
      <x:c r="I20" s="20" t="n">
        <x:v>0</x:v>
      </x:c>
      <x:c r="J20" s="20" t="n">
        <x:v>59055</x:v>
      </x:c>
      <x:c r="K20" s="19" t="str">
        <x:v>средняя</x:v>
      </x:c>
    </x:row>
    <x:row r="21">
      <x:c r="A21" s="19" t="n">
        <x:v>20</x:v>
      </x:c>
      <x:c r="B21" s="19" t="str">
        <x:v>2 сред</x:v>
      </x:c>
      <x:c r="C21" s="19" t="n">
        <x:v>188</x:v>
      </x:c>
      <x:c r="D21" s="19" t="str">
        <x:v>Дар Пицца</x:v>
      </x:c>
      <x:c r="E21" s="19" t="str">
        <x:v>ООО "ПИЦЦА КРАСНОДАР"</x:v>
      </x:c>
      <x:c r="F21" s="19" t="str">
        <x:v>2311356162</x:v>
      </x:c>
      <x:c r="G21" s="21" t="n">
        <x:v>100</x:v>
      </x:c>
      <x:c r="H21" s="20" t="n">
        <x:v>601</x:v>
      </x:c>
      <x:c r="I21" s="20" t="n">
        <x:v>0</x:v>
      </x:c>
      <x:c r="J21" s="20" t="n">
        <x:v>316306</x:v>
      </x:c>
      <x:c r="K21" s="19" t="str">
        <x:v>средняя</x:v>
      </x:c>
    </x:row>
    <x:row r="22">
      <x:c r="A22" s="19" t="n">
        <x:v>21</x:v>
      </x:c>
      <x:c r="B22" s="19" t="str">
        <x:v>2 сред</x:v>
      </x:c>
      <x:c r="C22" s="19" t="n">
        <x:v>217</x:v>
      </x:c>
      <x:c r="D22" s="19" t="str">
        <x:v>Баблс</x:v>
      </x:c>
      <x:c r="E22" s="19" t="str">
        <x:v>ООО "БАБЛС"</x:v>
      </x:c>
      <x:c r="F22" s="19" t="str">
        <x:v>2721254750</x:v>
      </x:c>
      <x:c r="G22" s="21" t="n">
        <x:v>100</x:v>
      </x:c>
      <x:c r="H22" s="20" t="n">
        <x:v>82</x:v>
      </x:c>
      <x:c r="I22" s="20" t="n">
        <x:v>0</x:v>
      </x:c>
      <x:c r="J22" s="20" t="n">
        <x:v>4663</x:v>
      </x:c>
      <x:c r="K22" s="19" t="str">
        <x:v>средняя</x:v>
      </x:c>
    </x:row>
    <x:row r="23">
      <x:c r="A23" s="19" t="n">
        <x:v>22</x:v>
      </x:c>
      <x:c r="B23" s="19" t="str">
        <x:v>-</x:v>
      </x:c>
      <x:c r="C23" s="19" t="n">
        <x:v>180</x:v>
      </x:c>
      <x:c r="D23" s="19" t="str">
        <x:v>Бурум</x:v>
      </x:c>
      <x:c r="E23" s="19" t="str">
        <x:v>ООО "БУРУМ"</x:v>
      </x:c>
      <x:c r="F23" s="19" t="str">
        <x:v>2623033142</x:v>
      </x:c>
      <x:c r="G23" s="21" t="n">
        <x:v>95.97609561752988</x:v>
      </x:c>
      <x:c r="H23" s="20" t="n">
        <x:v>2510</x:v>
      </x:c>
      <x:c r="I23" s="20" t="n">
        <x:v>101</x:v>
      </x:c>
      <x:c r="J23" s="20" t="n">
        <x:v>10962</x:v>
      </x:c>
      <x:c r="K23" s="19" t="str">
        <x:v>средняя</x:v>
      </x:c>
    </x:row>
    <x:row r="24">
      <x:c r="A24" s="19" t="n">
        <x:v>23</x:v>
      </x:c>
      <x:c r="B24" s="19" t="str">
        <x:v>-</x:v>
      </x:c>
      <x:c r="C24" s="19" t="n">
        <x:v>249</x:v>
      </x:c>
      <x:c r="D24" s="19" t="str">
        <x:v>МЯСО&amp;РЫБА</x:v>
      </x:c>
      <x:c r="E24" s="19" t="str">
        <x:v>ООО "МЯСО И РЫБА КАШИРКА"</x:v>
      </x:c>
      <x:c r="F24" s="19" t="str">
        <x:v>7702421877</x:v>
      </x:c>
      <x:c r="G24" s="21" t="n">
        <x:v>94.16631517471853</x:v>
      </x:c>
      <x:c r="H24" s="20" t="n">
        <x:v>30821</x:v>
      </x:c>
      <x:c r="I24" s="20" t="n">
        <x:v>1798</x:v>
      </x:c>
      <x:c r="J24" s="20" t="n">
        <x:v>730716</x:v>
      </x:c>
      <x:c r="K24" s="19" t="str">
        <x:v>низкая</x:v>
      </x:c>
    </x:row>
    <x:row r="25">
      <x:c r="A25" s="19" t="n">
        <x:v>24</x:v>
      </x:c>
      <x:c r="B25" s="19" t="str">
        <x:v>-</x:v>
      </x:c>
      <x:c r="C25" s="19" t="n">
        <x:v>185</x:v>
      </x:c>
      <x:c r="D25" s="19" t="str">
        <x:v>SBW х Subway</x:v>
      </x:c>
      <x:c r="E25" s="19" t="str">
        <x:v>ООО "ССК"</x:v>
      </x:c>
      <x:c r="F25" s="19" t="str">
        <x:v>7810476672</x:v>
      </x:c>
      <x:c r="G25" s="21" t="n">
        <x:v>80.22267206477733</x:v>
      </x:c>
      <x:c r="H25" s="20" t="n">
        <x:v>69160</x:v>
      </x:c>
      <x:c r="I25" s="20" t="n">
        <x:v>13678</x:v>
      </x:c>
      <x:c r="J25" s="20" t="n">
        <x:v>349129</x:v>
      </x:c>
      <x:c r="K25" s="19" t="str">
        <x:v>низкая</x:v>
      </x:c>
    </x:row>
    <x:row r="26">
      <x:c r="A26" s="19" t="n">
        <x:v>25</x:v>
      </x:c>
      <x:c r="B26" s="19" t="str">
        <x:v>-</x:v>
      </x:c>
      <x:c r="C26" s="19" t="n">
        <x:v>225</x:v>
      </x:c>
      <x:c r="D26" s="19" t="str">
        <x:v>SBW х Subway</x:v>
      </x:c>
      <x:c r="E26" s="19" t="str">
        <x:v>ООО "ССК"</x:v>
      </x:c>
      <x:c r="F26" s="19" t="str">
        <x:v>7810476672</x:v>
      </x:c>
      <x:c r="G26" s="21" t="n">
        <x:v>80.22267206477733</x:v>
      </x:c>
      <x:c r="H26" s="20" t="n">
        <x:v>69160</x:v>
      </x:c>
      <x:c r="I26" s="20" t="n">
        <x:v>13678</x:v>
      </x:c>
      <x:c r="J26" s="20" t="n">
        <x:v>349129</x:v>
      </x:c>
      <x:c r="K26" s="19" t="str">
        <x:v>низкая</x:v>
      </x:c>
    </x:row>
    <x:row r="27">
      <x:c r="A27" s="19" t="n">
        <x:v>26</x:v>
      </x:c>
      <x:c r="B27" s="19" t="str">
        <x:v>-</x:v>
      </x:c>
      <x:c r="C27" s="19" t="n">
        <x:v>235</x:v>
      </x:c>
      <x:c r="D27" s="19" t="str">
        <x:v>Subway</x:v>
      </x:c>
      <x:c r="E27" s="19" t="str">
        <x:v>ООО "ССК"</x:v>
      </x:c>
      <x:c r="F27" s="19" t="str">
        <x:v>7810476672</x:v>
      </x:c>
      <x:c r="G27" s="21" t="n">
        <x:v>80.22267206477733</x:v>
      </x:c>
      <x:c r="H27" s="20" t="n">
        <x:v>69160</x:v>
      </x:c>
      <x:c r="I27" s="20" t="n">
        <x:v>13678</x:v>
      </x:c>
      <x:c r="J27" s="20" t="n">
        <x:v>349129</x:v>
      </x:c>
      <x:c r="K27" s="19" t="str">
        <x:v>низкая</x:v>
      </x:c>
    </x:row>
    <x:row r="28">
      <x:c r="A28" s="19" t="n">
        <x:v>27</x:v>
      </x:c>
      <x:c r="B28" s="19" t="str">
        <x:v>-</x:v>
      </x:c>
      <x:c r="C28" s="19" t="n">
        <x:v>183</x:v>
      </x:c>
      <x:c r="D28" s="19" t="str">
        <x:v>Шашлык Юга</x:v>
      </x:c>
      <x:c r="E28" s="19" t="str">
        <x:v>ООО "ЮГА"</x:v>
      </x:c>
      <x:c r="F28" s="19" t="str">
        <x:v>2317077292</x:v>
      </x:c>
      <x:c r="G28" s="21" t="n">
        <x:v>71.9915922228061</x:v>
      </x:c>
      <x:c r="H28" s="20" t="n">
        <x:v>17127</x:v>
      </x:c>
      <x:c r="I28" s="20" t="n">
        <x:v>4797</x:v>
      </x:c>
      <x:c r="J28" s="20" t="n">
        <x:v>133744</x:v>
      </x:c>
      <x:c r="K28" s="19" t="str">
        <x:v>средняя</x:v>
      </x:c>
    </x:row>
    <x:row r="29">
      <x:c r="A29" s="19" t="n">
        <x:v>28</x:v>
      </x:c>
      <x:c r="B29" s="19" t="str">
        <x:v>-</x:v>
      </x:c>
      <x:c r="C29" s="19" t="n">
        <x:v>186</x:v>
      </x:c>
      <x:c r="D29" s="19" t="str">
        <x:v>Шашлык Юга</x:v>
      </x:c>
      <x:c r="E29" s="19" t="str">
        <x:v>ООО "ЮГА"</x:v>
      </x:c>
      <x:c r="F29" s="19" t="str">
        <x:v>2317077292</x:v>
      </x:c>
      <x:c r="G29" s="21" t="n">
        <x:v>71.9915922228061</x:v>
      </x:c>
      <x:c r="H29" s="20" t="n">
        <x:v>17127</x:v>
      </x:c>
      <x:c r="I29" s="20" t="n">
        <x:v>4797</x:v>
      </x:c>
      <x:c r="J29" s="20" t="n">
        <x:v>133744</x:v>
      </x:c>
      <x:c r="K29" s="19" t="str">
        <x:v>средняя</x:v>
      </x:c>
    </x:row>
    <x:row r="30">
      <x:c r="A30" s="19" t="n">
        <x:v>29</x:v>
      </x:c>
      <x:c r="B30" s="19" t="str">
        <x:v>-</x:v>
      </x:c>
      <x:c r="C30" s="19" t="n">
        <x:v>250</x:v>
      </x:c>
      <x:c r="D30" s="19" t="str">
        <x:v>Любим печь</x:v>
      </x:c>
      <x:c r="E30" s="19" t="str">
        <x:v>ООО ФИРМА "ПЕЧЬ"</x:v>
      </x:c>
      <x:c r="F30" s="19" t="str">
        <x:v>2365031146</x:v>
      </x:c>
      <x:c r="G30" s="21" t="n">
        <x:v>53.63984674329502</x:v>
      </x:c>
      <x:c r="H30" s="20" t="n">
        <x:v>1044</x:v>
      </x:c>
      <x:c r="I30" s="20" t="n">
        <x:v>484</x:v>
      </x:c>
      <x:c r="J30" s="20" t="n">
        <x:v>14484</x:v>
      </x:c>
      <x:c r="K30" s="19" t="str">
        <x:v>средняя</x:v>
      </x:c>
    </x:row>
    <x:row r="31">
      <x:c r="A31" s="19" t="n">
        <x:v>30</x:v>
      </x:c>
      <x:c r="B31" s="19" t="str">
        <x:v>-</x:v>
      </x:c>
      <x:c r="C31" s="19" t="n">
        <x:v>248</x:v>
      </x:c>
      <x:c r="D31" s="19" t="str">
        <x:v>Джентльмены удачи</x:v>
      </x:c>
      <x:c r="E31" s="19" t="str">
        <x:v>ООО "ДЖЕНТЛЬМЕНЫ УДАЧИ"</x:v>
      </x:c>
      <x:c r="F31" s="19" t="str">
        <x:v>7813647044</x:v>
      </x:c>
      <x:c r="G31" s="21" t="n">
        <x:v>43.666488508818816</x:v>
      </x:c>
      <x:c r="H31" s="20" t="n">
        <x:v>1871</x:v>
      </x:c>
      <x:c r="I31" s="20" t="n">
        <x:v>1054</x:v>
      </x:c>
      <x:c r="J31" s="20" t="n">
        <x:v>19648</x:v>
      </x:c>
      <x:c r="K31" s="19" t="str">
        <x:v>средняя</x:v>
      </x:c>
    </x:row>
    <x:row r="32">
      <x:c r="A32" s="19" t="n">
        <x:v>31</x:v>
      </x:c>
      <x:c r="B32" s="19" t="str">
        <x:v>-</x:v>
      </x:c>
      <x:c r="C32" s="19" t="n">
        <x:v>194</x:v>
      </x:c>
      <x:c r="D32" s="19" t="str">
        <x:v>Шашлычная</x:v>
      </x:c>
      <x:c r="E32" s="19" t="str">
        <x:v>ООО "ШАШЛЫЧНАЯ"</x:v>
      </x:c>
      <x:c r="F32" s="19" t="str">
        <x:v>2312321155</x:v>
      </x:c>
      <x:c r="G32" s="21" t="n">
        <x:v>16.23491116234911</x:v>
      </x:c>
      <x:c r="H32" s="20" t="n">
        <x:v>7373</x:v>
      </x:c>
      <x:c r="I32" s="20" t="n">
        <x:v>6176</x:v>
      </x:c>
      <x:c r="J32" s="20" t="n">
        <x:v>301313</x:v>
      </x:c>
      <x:c r="K32" s="19" t="str">
        <x:v>средняя</x:v>
      </x:c>
    </x:row>
    <x:row r="33">
      <x:c r="A33" s="19" t="n">
        <x:v>32</x:v>
      </x:c>
      <x:c r="B33" s="19" t="str">
        <x:v>-</x:v>
      </x:c>
      <x:c r="C33" s="19" t="n">
        <x:v>240</x:v>
      </x:c>
      <x:c r="D33" s="19" t="str">
        <x:v>Бумбараш</x:v>
      </x:c>
      <x:c r="E33" s="19" t="str">
        <x:v>ООО "БУМБАРАШ БОЛЬШОЙ"</x:v>
      </x:c>
      <x:c r="F33" s="19" t="str">
        <x:v>2308275139</x:v>
      </x:c>
      <x:c r="G33" s="21" t="n">
        <x:v>14.659325533379217</x:v>
      </x:c>
      <x:c r="H33" s="20" t="n">
        <x:v>1453</x:v>
      </x:c>
      <x:c r="I33" s="20" t="n">
        <x:v>1240</x:v>
      </x:c>
      <x:c r="J33" s="20" t="n">
        <x:v>0</x:v>
      </x:c>
      <x:c r="K33" s="19" t="str">
        <x:v>средняя</x:v>
      </x:c>
    </x:row>
    <x:row r="34">
      <x:c r="A34" s="19" t="n">
        <x:v>33</x:v>
      </x:c>
      <x:c r="B34" s="19" t="str">
        <x:v>-</x:v>
      </x:c>
      <x:c r="C34" s="19" t="n">
        <x:v>244</x:v>
      </x:c>
      <x:c r="D34" s="19" t="str">
        <x:v>БумБараш</x:v>
      </x:c>
      <x:c r="E34" s="19" t="str">
        <x:v>ООО "БУМБАРАШ БОЛЬШОЙ"</x:v>
      </x:c>
      <x:c r="F34" s="19" t="str">
        <x:v>2308275139</x:v>
      </x:c>
      <x:c r="G34" s="21" t="n">
        <x:v>14.659325533379217</x:v>
      </x:c>
      <x:c r="H34" s="20" t="n">
        <x:v>1453</x:v>
      </x:c>
      <x:c r="I34" s="20" t="n">
        <x:v>1240</x:v>
      </x:c>
      <x:c r="J34" s="20" t="n">
        <x:v>0</x:v>
      </x:c>
      <x:c r="K34" s="19" t="str">
        <x:v>средняя</x:v>
      </x:c>
    </x:row>
    <x:row r="35">
      <x:c r="A35" s="19" t="n">
        <x:v>34</x:v>
      </x:c>
      <x:c r="B35" s="19" t="str">
        <x:v>-</x:v>
      </x:c>
      <x:c r="C35" s="19" t="n">
        <x:v>232</x:v>
      </x:c>
      <x:c r="D35" s="19" t="str">
        <x:v>Базар</x:v>
      </x:c>
      <x:c r="E35" s="19" t="str">
        <x:v>ООО "БАЗАР"</x:v>
      </x:c>
      <x:c r="F35" s="19" t="str">
        <x:v>1657241710</x:v>
      </x:c>
      <x:c r="G35" s="21" t="n">
        <x:v>0.9523809523809524</x:v>
      </x:c>
      <x:c r="H35" s="20" t="n">
        <x:v>1680</x:v>
      </x:c>
      <x:c r="I35" s="20" t="n">
        <x:v>1664</x:v>
      </x:c>
      <x:c r="J35" s="20" t="n">
        <x:v>6863</x:v>
      </x:c>
      <x:c r="K35" s="19" t="str">
        <x:v>средняя</x:v>
      </x:c>
    </x:row>
    <x:row r="36">
      <x:c r="A36" s="19" t="n">
        <x:v>35</x:v>
      </x:c>
      <x:c r="B36" s="19" t="str">
        <x:v>-</x:v>
      </x:c>
      <x:c r="C36" s="19" t="n">
        <x:v>220</x:v>
      </x:c>
      <x:c r="D36" s="19" t="str">
        <x:v>The Кухня</x:v>
      </x:c>
      <x:c r="E36" s="19" t="str">
        <x:v>ООО "КУХНЯ"</x:v>
      </x:c>
      <x:c r="F36" s="19" t="str">
        <x:v>7813671262</x:v>
      </x:c>
      <x:c r="G36" s="21" t="n">
        <x:v>-26.25</x:v>
      </x:c>
      <x:c r="H36" s="20" t="n">
        <x:v>80</x:v>
      </x:c>
      <x:c r="I36" s="20" t="n">
        <x:v>101</x:v>
      </x:c>
      <x:c r="J36" s="20" t="n">
        <x:v>86848</x:v>
      </x:c>
      <x:c r="K36" s="19" t="str">
        <x:v>низкая</x:v>
      </x:c>
    </x:row>
    <x:row r="37">
      <x:c r="A37" s="19" t="n">
        <x:v>36</x:v>
      </x:c>
      <x:c r="B37" s="19" t="str">
        <x:v>2 мин</x:v>
      </x:c>
      <x:c r="C37" s="19" t="n">
        <x:v>241</x:v>
      </x:c>
      <x:c r="D37" s="19" t="str">
        <x:v>Диканька</x:v>
      </x:c>
      <x:c r="E37" s="19" t="str">
        <x:v>ООО "ДИКАНЬКА"</x:v>
      </x:c>
      <x:c r="F37" s="19" t="str">
        <x:v>7456001807</x:v>
      </x:c>
      <x:c r="G37" s="21" t="n">
        <x:v>-30.1535974130962</x:v>
      </x:c>
      <x:c r="H37" s="20" t="n">
        <x:v>2474</x:v>
      </x:c>
      <x:c r="I37" s="20" t="n">
        <x:v>3220</x:v>
      </x:c>
      <x:c r="J37" s="20" t="n">
        <x:v>435202</x:v>
      </x:c>
      <x:c r="K37" s="19" t="str">
        <x:v>средняя</x:v>
      </x:c>
    </x:row>
    <x:row r="38">
      <x:c r="A38" s="19" t="n">
        <x:v>37</x:v>
      </x:c>
      <x:c r="B38" s="19" t="str">
        <x:v>2 мин</x:v>
      </x:c>
      <x:c r="C38" s="19" t="n">
        <x:v>246</x:v>
      </x:c>
      <x:c r="D38" s="19" t="str">
        <x:v>Чик Чак</x:v>
      </x:c>
      <x:c r="E38" s="19" t="str">
        <x:v>ООО "ЧАК-ЧАК"</x:v>
      </x:c>
      <x:c r="F38" s="19" t="str">
        <x:v>1655245067</x:v>
      </x:c>
      <x:c r="G38" s="21" t="n">
        <x:v>-1921.921921921922</x:v>
      </x:c>
      <x:c r="H38" s="20" t="n">
        <x:v>333</x:v>
      </x:c>
      <x:c r="I38" s="20" t="n">
        <x:v>6733</x:v>
      </x:c>
      <x:c r="J38" s="20" t="n">
        <x:v>383113</x:v>
      </x:c>
      <x:c r="K38" s="19" t="str">
        <x:v>низкая</x:v>
      </x:c>
    </x:row>
    <x:row r="42">
      <x:c r="A42" s="30" t="str">
        <x:v>Топ-6: 2 максимальных, 2 средних, 2 минимальных</x:v>
      </x:c>
      <x:c r="B42" s="30"/>
      <x:c r="C42" s="30"/>
      <x:c r="D42" s="30"/>
      <x:c r="E42" s="30"/>
      <x:c r="F42" s="30"/>
      <x:c r="G42" s="30"/>
    </x:row>
    <x:row r="43">
      <x:c r="A43" s="31" t="str">
        <x:v>Группа</x:v>
      </x:c>
      <x:c r="B43" s="31" t="str">
        <x:v>Строка</x:v>
      </x:c>
      <x:c r="C43" s="31" t="str">
        <x:v>Название</x:v>
      </x:c>
      <x:c r="D43" s="31" t="str">
        <x:v>Юрлицо</x:v>
      </x:c>
      <x:c r="E43" s="31" t="str">
        <x:v>ИНН</x:v>
      </x:c>
      <x:c r="F43" s="31" t="str">
        <x:v>Эффективность, %</x:v>
      </x:c>
      <x:c r="G43" s="31" t="str">
        <x:v>Комментарий</x:v>
      </x:c>
    </x:row>
    <x:row r="44">
      <x:c r="A44" s="19" t="str">
        <x:v>2 макс</x:v>
      </x:c>
      <x:c r="B44" s="19" t="n">
        <x:v>187</x:v>
      </x:c>
      <x:c r="C44" s="19" t="str">
        <x:v>Вкусно — и точка</x:v>
      </x:c>
      <x:c r="D44" s="19" t="str">
        <x:v>ООО "СИСТЕМА ПБО"</x:v>
      </x:c>
      <x:c r="E44" s="19" t="str">
        <x:v>7710044140</x:v>
      </x:c>
      <x:c r="F44" s="21" t="n">
        <x:v>100</x:v>
      </x:c>
      <x:c r="G44" s="19" t="str">
        <x:v>Топ-6 выбран по уникальным ИНН, чтобы одна сеть не дублировалась несколькими адресами.</x:v>
      </x:c>
    </x:row>
    <x:row r="45">
      <x:c r="A45" s="19" t="str">
        <x:v>2 макс</x:v>
      </x:c>
      <x:c r="B45" s="19" t="n">
        <x:v>223</x:v>
      </x:c>
      <x:c r="C45" s="19" t="str">
        <x:v>Rostic's</x:v>
      </x:c>
      <x:c r="D45" s="19" t="str">
        <x:v>ООО "ЮНИРЕСТ"</x:v>
      </x:c>
      <x:c r="E45" s="19" t="str">
        <x:v>7722561551</x:v>
      </x:c>
      <x:c r="F45" s="21" t="n">
        <x:v>100</x:v>
      </x:c>
      <x:c r="G45" s="19" t="str">
        <x:v>Топ-6 выбран по уникальным ИНН, чтобы одна сеть не дублировалась несколькими адресами.</x:v>
      </x:c>
    </x:row>
    <x:row r="46">
      <x:c r="A46" s="19" t="str">
        <x:v>2 сред</x:v>
      </x:c>
      <x:c r="B46" s="19" t="n">
        <x:v>188</x:v>
      </x:c>
      <x:c r="C46" s="19" t="str">
        <x:v>Дар Пицца</x:v>
      </x:c>
      <x:c r="D46" s="19" t="str">
        <x:v>ООО "ПИЦЦА КРАСНОДАР"</x:v>
      </x:c>
      <x:c r="E46" s="19" t="str">
        <x:v>2311356162</x:v>
      </x:c>
      <x:c r="F46" s="21" t="n">
        <x:v>100</x:v>
      </x:c>
      <x:c r="G46" s="19" t="str">
        <x:v>Топ-6 выбран по уникальным ИНН, чтобы одна сеть не дублировалась несколькими адресами.</x:v>
      </x:c>
    </x:row>
    <x:row r="47">
      <x:c r="A47" s="19" t="str">
        <x:v>2 сред</x:v>
      </x:c>
      <x:c r="B47" s="19" t="n">
        <x:v>217</x:v>
      </x:c>
      <x:c r="C47" s="19" t="str">
        <x:v>Баблс</x:v>
      </x:c>
      <x:c r="D47" s="19" t="str">
        <x:v>ООО "БАБЛС"</x:v>
      </x:c>
      <x:c r="E47" s="19" t="str">
        <x:v>2721254750</x:v>
      </x:c>
      <x:c r="F47" s="21" t="n">
        <x:v>100</x:v>
      </x:c>
      <x:c r="G47" s="19" t="str">
        <x:v>Топ-6 выбран по уникальным ИНН, чтобы одна сеть не дублировалась несколькими адресами.</x:v>
      </x:c>
    </x:row>
    <x:row r="48">
      <x:c r="A48" s="19" t="str">
        <x:v>2 мин</x:v>
      </x:c>
      <x:c r="B48" s="19" t="n">
        <x:v>241</x:v>
      </x:c>
      <x:c r="C48" s="19" t="str">
        <x:v>Диканька</x:v>
      </x:c>
      <x:c r="D48" s="19" t="str">
        <x:v>ООО "ДИКАНЬКА"</x:v>
      </x:c>
      <x:c r="E48" s="19" t="str">
        <x:v>7456001807</x:v>
      </x:c>
      <x:c r="F48" s="21" t="n">
        <x:v>-30.1535974130962</x:v>
      </x:c>
      <x:c r="G48" s="19" t="str">
        <x:v>Топ-6 выбран по уникальным ИНН, чтобы одна сеть не дублировалась несколькими адресами.</x:v>
      </x:c>
    </x:row>
    <x:row r="49">
      <x:c r="A49" s="19" t="str">
        <x:v>2 мин</x:v>
      </x:c>
      <x:c r="B49" s="19" t="n">
        <x:v>246</x:v>
      </x:c>
      <x:c r="C49" s="19" t="str">
        <x:v>Чик Чак</x:v>
      </x:c>
      <x:c r="D49" s="19" t="str">
        <x:v>ООО "ЧАК-ЧАК"</x:v>
      </x:c>
      <x:c r="E49" s="19" t="str">
        <x:v>1655245067</x:v>
      </x:c>
      <x:c r="F49" s="21" t="n">
        <x:v>-1921.921921921922</x:v>
      </x:c>
      <x:c r="G49" s="19" t="str">
        <x:v>Топ-6 выбран по уникальным ИНН, чтобы одна сеть не дублировалась несколькими адресами.</x:v>
      </x:c>
    </x:row>
  </x:sheetData>
  <x:mergeCells>
    <x:mergeCell ref="A42:G4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.75" hidden="0" customWidth="1"/>
    <x:col min="3" max="3" width="21.25" hidden="0" customWidth="1"/>
    <x:col min="5" max="5" width="28.75" hidden="0" customWidth="1"/>
    <x:col min="6" max="6" width="13.75" hidden="0" customWidth="1"/>
    <x:col min="7" max="7" width="11.880000114440918" hidden="0" customWidth="1"/>
    <x:col min="8" max="8" width="11.880000114440918" hidden="0" customWidth="1"/>
    <x:col min="9" max="9" width="11.880000114440918" hidden="0" customWidth="1"/>
    <x:col min="10" max="10" width="11.880000114440918" hidden="0" customWidth="1"/>
    <x:col min="11" max="11" width="10" hidden="0" customWidth="1"/>
    <x:col min="12" max="12" width="11.880000114440918" hidden="0" customWidth="1"/>
    <x:col min="13" max="13" width="45" hidden="0" customWidth="1"/>
  </x:cols>
  <x:sheetData>
    <x:row r="1">
      <x:c r="A1" s="18" t="str">
        <x:v>Группа</x:v>
      </x:c>
      <x:c r="B1" s="18" t="str">
        <x:v>Строка</x:v>
      </x:c>
      <x:c r="C1" s="18" t="str">
        <x:v>Название</x:v>
      </x:c>
      <x:c r="D1" s="18" t="str">
        <x:v>Год</x:v>
      </x:c>
      <x:c r="E1" s="18" t="str">
        <x:v>Юрлицо</x:v>
      </x:c>
      <x:c r="F1" s="18" t="str">
        <x:v>ИНН</x:v>
      </x:c>
      <x:c r="G1" s="18" t="str">
        <x:v>Выручка, тыс. руб.</x:v>
      </x:c>
      <x:c r="H1" s="18" t="str">
        <x:v>Валовая прибыль, тыс. руб.</x:v>
      </x:c>
      <x:c r="I1" s="18" t="str">
        <x:v>Чистая прибыль, тыс. руб.</x:v>
      </x:c>
      <x:c r="J1" s="18" t="str">
        <x:v>Чистый убыток, тыс. руб.</x:v>
      </x:c>
      <x:c r="K1" s="18" t="str">
        <x:v>Персонал</x:v>
      </x:c>
      <x:c r="L1" s="18" t="str">
        <x:v>Дата БФО</x:v>
      </x:c>
      <x:c r="M1" s="18" t="str">
        <x:v>Источник</x:v>
      </x:c>
    </x:row>
    <x:row r="2">
      <x:c r="A2" s="19" t="str">
        <x:v>2 макс</x:v>
      </x:c>
      <x:c r="B2" s="19" t="n">
        <x:v>187</x:v>
      </x:c>
      <x:c r="C2" s="19" t="str">
        <x:v>Вкусно — и точка</x:v>
      </x:c>
      <x:c r="D2" s="19" t="n">
        <x:v>2023</x:v>
      </x:c>
      <x:c r="E2" s="19" t="str">
        <x:v>ООО "СИСТЕМА ПБО"</x:v>
      </x:c>
      <x:c r="F2" s="19" t="str">
        <x:v>7710044140</x:v>
      </x:c>
      <x:c r="G2" s="20" t="n">
        <x:v>155745210</x:v>
      </x:c>
      <x:c r="H2" s="20" t="n">
        <x:v>27475435</x:v>
      </x:c>
      <x:c r="I2" s="20" t="n">
        <x:v>14174325</x:v>
      </x:c>
      <x:c r="J2" s="20" t="n">
        <x:v>0</x:v>
      </x:c>
      <x:c r="K2" s="19" t="str">
        <x:v>-</x:v>
      </x:c>
      <x:c r="L2" s="19" t="str">
        <x:v>2024-03-15</x:v>
      </x:c>
      <x:c r="M2" s="19" t="str">
        <x:v>https://bo.nalog.gov.ru/organizations-card/7710044140</x:v>
      </x:c>
    </x:row>
    <x:row r="3">
      <x:c r="A3" s="19" t="str">
        <x:v>2 макс</x:v>
      </x:c>
      <x:c r="B3" s="19" t="n">
        <x:v>187</x:v>
      </x:c>
      <x:c r="C3" s="19" t="str">
        <x:v>Вкусно — и точка</x:v>
      </x:c>
      <x:c r="D3" s="19" t="n">
        <x:v>2024</x:v>
      </x:c>
      <x:c r="E3" s="19" t="str">
        <x:v>ООО "СИСТЕМА ПБО"</x:v>
      </x:c>
      <x:c r="F3" s="19" t="str">
        <x:v>7710044140</x:v>
      </x:c>
      <x:c r="G3" s="20" t="n">
        <x:v>187357965</x:v>
      </x:c>
      <x:c r="H3" s="20" t="n">
        <x:v>35440526</x:v>
      </x:c>
      <x:c r="I3" s="20" t="n">
        <x:v>16959735</x:v>
      </x:c>
      <x:c r="J3" s="20" t="n">
        <x:v>0</x:v>
      </x:c>
      <x:c r="K3" s="19" t="str">
        <x:v>-</x:v>
      </x:c>
      <x:c r="L3" s="19" t="str">
        <x:v>2025-03-28</x:v>
      </x:c>
      <x:c r="M3" s="19" t="str">
        <x:v>https://bo.nalog.gov.ru/organizations-card/7710044140</x:v>
      </x:c>
    </x:row>
    <x:row r="4">
      <x:c r="A4" s="19" t="str">
        <x:v>2 макс</x:v>
      </x:c>
      <x:c r="B4" s="19" t="n">
        <x:v>187</x:v>
      </x:c>
      <x:c r="C4" s="19" t="str">
        <x:v>Вкусно — и точка</x:v>
      </x:c>
      <x:c r="D4" s="19" t="n">
        <x:v>2025</x:v>
      </x:c>
      <x:c r="E4" s="19" t="str">
        <x:v>ООО "СИСТЕМА ПБО"</x:v>
      </x:c>
      <x:c r="F4" s="19" t="str">
        <x:v>7710044140</x:v>
      </x:c>
      <x:c r="G4" s="20" t="n">
        <x:v>218572895</x:v>
      </x:c>
      <x:c r="H4" s="20" t="n">
        <x:v>37855764</x:v>
      </x:c>
      <x:c r="I4" s="20" t="n">
        <x:v>14405355</x:v>
      </x:c>
      <x:c r="J4" s="20" t="n">
        <x:v>0</x:v>
      </x:c>
      <x:c r="K4" s="19" t="str">
        <x:v>-</x:v>
      </x:c>
      <x:c r="L4" s="19" t="str">
        <x:v>2026-03-27</x:v>
      </x:c>
      <x:c r="M4" s="19" t="str">
        <x:v>https://bo.nalog.gov.ru/organizations-card/7710044140</x:v>
      </x:c>
    </x:row>
    <x:row r="5">
      <x:c r="A5" s="19" t="str">
        <x:v>2 макс</x:v>
      </x:c>
      <x:c r="B5" s="19" t="n">
        <x:v>223</x:v>
      </x:c>
      <x:c r="C5" s="19" t="str">
        <x:v>Rostic's</x:v>
      </x:c>
      <x:c r="D5" s="19" t="n">
        <x:v>2023</x:v>
      </x:c>
      <x:c r="E5" s="19" t="str">
        <x:v>ООО "ЮНИРЕСТ"</x:v>
      </x:c>
      <x:c r="F5" s="19" t="str">
        <x:v>7722561551</x:v>
      </x:c>
      <x:c r="G5" s="20" t="n">
        <x:v>20168953</x:v>
      </x:c>
      <x:c r="H5" s="20" t="n">
        <x:v>14955521</x:v>
      </x:c>
      <x:c r="I5" s="20" t="n">
        <x:v>3539841</x:v>
      </x:c>
      <x:c r="J5" s="20" t="n">
        <x:v>0</x:v>
      </x:c>
      <x:c r="K5" s="19" t="str">
        <x:v>-</x:v>
      </x:c>
      <x:c r="L5" s="19" t="str">
        <x:v>2024-05-29</x:v>
      </x:c>
      <x:c r="M5" s="19" t="str">
        <x:v>https://bo.nalog.gov.ru/organizations-card/7722561551</x:v>
      </x:c>
    </x:row>
    <x:row r="6">
      <x:c r="A6" s="19" t="str">
        <x:v>2 макс</x:v>
      </x:c>
      <x:c r="B6" s="19" t="n">
        <x:v>223</x:v>
      </x:c>
      <x:c r="C6" s="19" t="str">
        <x:v>Rostic's</x:v>
      </x:c>
      <x:c r="D6" s="19" t="n">
        <x:v>2024</x:v>
      </x:c>
      <x:c r="E6" s="19" t="str">
        <x:v>ООО "ЮНИРЕСТ"</x:v>
      </x:c>
      <x:c r="F6" s="19" t="str">
        <x:v>7722561551</x:v>
      </x:c>
      <x:c r="G6" s="20" t="n">
        <x:v>25930672</x:v>
      </x:c>
      <x:c r="H6" s="20" t="n">
        <x:v>20142693</x:v>
      </x:c>
      <x:c r="I6" s="20" t="n">
        <x:v>5678938</x:v>
      </x:c>
      <x:c r="J6" s="20" t="n">
        <x:v>0</x:v>
      </x:c>
      <x:c r="K6" s="19" t="str">
        <x:v>-</x:v>
      </x:c>
      <x:c r="L6" s="19" t="str">
        <x:v>2025-05-23</x:v>
      </x:c>
      <x:c r="M6" s="19" t="str">
        <x:v>https://bo.nalog.gov.ru/organizations-card/7722561551</x:v>
      </x:c>
    </x:row>
    <x:row r="7">
      <x:c r="A7" s="19" t="str">
        <x:v>2 макс</x:v>
      </x:c>
      <x:c r="B7" s="19" t="n">
        <x:v>223</x:v>
      </x:c>
      <x:c r="C7" s="19" t="str">
        <x:v>Rostic's</x:v>
      </x:c>
      <x:c r="D7" s="19" t="n">
        <x:v>2025</x:v>
      </x:c>
      <x:c r="E7" s="19" t="str">
        <x:v>ООО "ЮНИРЕСТ"</x:v>
      </x:c>
      <x:c r="F7" s="19" t="str">
        <x:v>7722561551</x:v>
      </x:c>
      <x:c r="G7" s="20" t="n">
        <x:v>30813210</x:v>
      </x:c>
      <x:c r="H7" s="20" t="n">
        <x:v>24240245</x:v>
      </x:c>
      <x:c r="I7" s="20" t="n">
        <x:v>4115411</x:v>
      </x:c>
      <x:c r="J7" s="20" t="n">
        <x:v>0</x:v>
      </x:c>
      <x:c r="K7" s="19" t="str">
        <x:v>-</x:v>
      </x:c>
      <x:c r="L7" s="19" t="str">
        <x:v>2026-04-30</x:v>
      </x:c>
      <x:c r="M7" s="19" t="str">
        <x:v>https://bo.nalog.gov.ru/organizations-card/7722561551</x:v>
      </x:c>
    </x:row>
    <x:row r="8">
      <x:c r="A8" s="19" t="str">
        <x:v>2 сред</x:v>
      </x:c>
      <x:c r="B8" s="19" t="n">
        <x:v>188</x:v>
      </x:c>
      <x:c r="C8" s="19" t="str">
        <x:v>Дар Пицца</x:v>
      </x:c>
      <x:c r="D8" s="19" t="n">
        <x:v>2023</x:v>
      </x:c>
      <x:c r="E8" s="19" t="str">
        <x:v>ООО "ПИЦЦА КРАСНОДАР"</x:v>
      </x:c>
      <x:c r="F8" s="19" t="str">
        <x:v>2311356162</x:v>
      </x:c>
      <x:c r="G8" s="20" t="str">
        <x:v>-</x:v>
      </x:c>
      <x:c r="H8" s="20" t="str">
        <x:v>-</x:v>
      </x:c>
      <x:c r="I8" s="20" t="str">
        <x:v>-</x:v>
      </x:c>
      <x:c r="J8" s="20" t="str">
        <x:v>-</x:v>
      </x:c>
      <x:c r="K8" s="19" t="str">
        <x:v>-</x:v>
      </x:c>
      <x:c r="L8" s="19" t="str">
        <x:v>-</x:v>
      </x:c>
      <x:c r="M8" s="19" t="str">
        <x:v>-</x:v>
      </x:c>
    </x:row>
    <x:row r="9">
      <x:c r="A9" s="19" t="str">
        <x:v>2 сред</x:v>
      </x:c>
      <x:c r="B9" s="19" t="n">
        <x:v>188</x:v>
      </x:c>
      <x:c r="C9" s="19" t="str">
        <x:v>Дар Пицца</x:v>
      </x:c>
      <x:c r="D9" s="19" t="n">
        <x:v>2024</x:v>
      </x:c>
      <x:c r="E9" s="19" t="str">
        <x:v>ООО "ПИЦЦА КРАСНОДАР"</x:v>
      </x:c>
      <x:c r="F9" s="19" t="str">
        <x:v>2311356162</x:v>
      </x:c>
      <x:c r="G9" s="20" t="n">
        <x:v>106727</x:v>
      </x:c>
      <x:c r="H9" s="20" t="str">
        <x:v>-</x:v>
      </x:c>
      <x:c r="I9" s="20" t="n">
        <x:v>485</x:v>
      </x:c>
      <x:c r="J9" s="20" t="n">
        <x:v>0</x:v>
      </x:c>
      <x:c r="K9" s="19" t="str">
        <x:v>-</x:v>
      </x:c>
      <x:c r="L9" s="19" t="str">
        <x:v>2025-03-31</x:v>
      </x:c>
      <x:c r="M9" s="19" t="str">
        <x:v>https://bo.nalog.gov.ru/organizations-card/2311356162</x:v>
      </x:c>
    </x:row>
    <x:row r="10">
      <x:c r="A10" s="19" t="str">
        <x:v>2 сред</x:v>
      </x:c>
      <x:c r="B10" s="19" t="n">
        <x:v>188</x:v>
      </x:c>
      <x:c r="C10" s="19" t="str">
        <x:v>Дар Пицца</x:v>
      </x:c>
      <x:c r="D10" s="19" t="n">
        <x:v>2025</x:v>
      </x:c>
      <x:c r="E10" s="19" t="str">
        <x:v>ООО "ПИЦЦА КРАСНОДАР"</x:v>
      </x:c>
      <x:c r="F10" s="19" t="str">
        <x:v>2311356162</x:v>
      </x:c>
      <x:c r="G10" s="20" t="n">
        <x:v>209579</x:v>
      </x:c>
      <x:c r="H10" s="20" t="str">
        <x:v>-</x:v>
      </x:c>
      <x:c r="I10" s="20" t="n">
        <x:v>116</x:v>
      </x:c>
      <x:c r="J10" s="20" t="n">
        <x:v>0</x:v>
      </x:c>
      <x:c r="K10" s="19" t="str">
        <x:v>-</x:v>
      </x:c>
      <x:c r="L10" s="19" t="str">
        <x:v>2026-03-30</x:v>
      </x:c>
      <x:c r="M10" s="19" t="str">
        <x:v>https://bo.nalog.gov.ru/organizations-card/2311356162</x:v>
      </x:c>
    </x:row>
    <x:row r="11">
      <x:c r="A11" s="19" t="str">
        <x:v>2 сред</x:v>
      </x:c>
      <x:c r="B11" s="19" t="n">
        <x:v>217</x:v>
      </x:c>
      <x:c r="C11" s="19" t="str">
        <x:v>Баблс</x:v>
      </x:c>
      <x:c r="D11" s="19" t="n">
        <x:v>2023</x:v>
      </x:c>
      <x:c r="E11" s="19" t="str">
        <x:v>ООО "БАБЛС"</x:v>
      </x:c>
      <x:c r="F11" s="19" t="str">
        <x:v>2721254750</x:v>
      </x:c>
      <x:c r="G11" s="20" t="n">
        <x:v>4663</x:v>
      </x:c>
      <x:c r="H11" s="20" t="str">
        <x:v>-</x:v>
      </x:c>
      <x:c r="I11" s="20" t="n">
        <x:v>82</x:v>
      </x:c>
      <x:c r="J11" s="20" t="n">
        <x:v>0</x:v>
      </x:c>
      <x:c r="K11" s="19" t="str">
        <x:v>-</x:v>
      </x:c>
      <x:c r="L11" s="19" t="str">
        <x:v>2024-04-01</x:v>
      </x:c>
      <x:c r="M11" s="19" t="str">
        <x:v>https://bo.nalog.gov.ru/organizations-card/2721254750</x:v>
      </x:c>
    </x:row>
    <x:row r="12">
      <x:c r="A12" s="19" t="str">
        <x:v>2 сред</x:v>
      </x:c>
      <x:c r="B12" s="19" t="n">
        <x:v>217</x:v>
      </x:c>
      <x:c r="C12" s="19" t="str">
        <x:v>Баблс</x:v>
      </x:c>
      <x:c r="D12" s="19" t="n">
        <x:v>2024</x:v>
      </x:c>
      <x:c r="E12" s="19" t="str">
        <x:v>ООО "БАБЛС"</x:v>
      </x:c>
      <x:c r="F12" s="19" t="str">
        <x:v>2721254750</x:v>
      </x:c>
      <x:c r="G12" s="20" t="str">
        <x:v>-</x:v>
      </x:c>
      <x:c r="H12" s="20" t="str">
        <x:v>-</x:v>
      </x:c>
      <x:c r="I12" s="20" t="str">
        <x:v>-</x:v>
      </x:c>
      <x:c r="J12" s="20" t="str">
        <x:v>-</x:v>
      </x:c>
      <x:c r="K12" s="19" t="str">
        <x:v>-</x:v>
      </x:c>
      <x:c r="L12" s="19" t="str">
        <x:v>-</x:v>
      </x:c>
      <x:c r="M12" s="19" t="str">
        <x:v>-</x:v>
      </x:c>
    </x:row>
    <x:row r="13">
      <x:c r="A13" s="19" t="str">
        <x:v>2 сред</x:v>
      </x:c>
      <x:c r="B13" s="19" t="n">
        <x:v>217</x:v>
      </x:c>
      <x:c r="C13" s="19" t="str">
        <x:v>Баблс</x:v>
      </x:c>
      <x:c r="D13" s="19" t="n">
        <x:v>2025</x:v>
      </x:c>
      <x:c r="E13" s="19" t="str">
        <x:v>ООО "БАБЛС"</x:v>
      </x:c>
      <x:c r="F13" s="19" t="str">
        <x:v>2721254750</x:v>
      </x:c>
      <x:c r="G13" s="20" t="str">
        <x:v>-</x:v>
      </x:c>
      <x:c r="H13" s="20" t="str">
        <x:v>-</x:v>
      </x:c>
      <x:c r="I13" s="20" t="str">
        <x:v>-</x:v>
      </x:c>
      <x:c r="J13" s="20" t="str">
        <x:v>-</x:v>
      </x:c>
      <x:c r="K13" s="19" t="str">
        <x:v>-</x:v>
      </x:c>
      <x:c r="L13" s="19" t="str">
        <x:v>2026-02-05</x:v>
      </x:c>
      <x:c r="M13" s="19" t="str">
        <x:v>https://bo.nalog.gov.ru/organizations-card/2721254750</x:v>
      </x:c>
    </x:row>
    <x:row r="14">
      <x:c r="A14" s="19" t="str">
        <x:v>2 мин</x:v>
      </x:c>
      <x:c r="B14" s="19" t="n">
        <x:v>241</x:v>
      </x:c>
      <x:c r="C14" s="19" t="str">
        <x:v>Диканька</x:v>
      </x:c>
      <x:c r="D14" s="19" t="n">
        <x:v>2023</x:v>
      </x:c>
      <x:c r="E14" s="19" t="str">
        <x:v>ООО "ДИКАНЬКА"</x:v>
      </x:c>
      <x:c r="F14" s="19" t="str">
        <x:v>7456001807</x:v>
      </x:c>
      <x:c r="G14" s="20" t="n">
        <x:v>126094</x:v>
      </x:c>
      <x:c r="H14" s="20" t="str">
        <x:v>-</x:v>
      </x:c>
      <x:c r="I14" s="20" t="n">
        <x:v>2204</x:v>
      </x:c>
      <x:c r="J14" s="20" t="n">
        <x:v>0</x:v>
      </x:c>
      <x:c r="K14" s="19" t="str">
        <x:v>-</x:v>
      </x:c>
      <x:c r="L14" s="19" t="str">
        <x:v>2024-03-20</x:v>
      </x:c>
      <x:c r="M14" s="19" t="str">
        <x:v>https://bo.nalog.gov.ru/organizations-card/7456001807</x:v>
      </x:c>
    </x:row>
    <x:row r="15">
      <x:c r="A15" s="19" t="str">
        <x:v>2 мин</x:v>
      </x:c>
      <x:c r="B15" s="19" t="n">
        <x:v>241</x:v>
      </x:c>
      <x:c r="C15" s="19" t="str">
        <x:v>Диканька</x:v>
      </x:c>
      <x:c r="D15" s="19" t="n">
        <x:v>2024</x:v>
      </x:c>
      <x:c r="E15" s="19" t="str">
        <x:v>ООО "ДИКАНЬКА"</x:v>
      </x:c>
      <x:c r="F15" s="19" t="str">
        <x:v>7456001807</x:v>
      </x:c>
      <x:c r="G15" s="20" t="n">
        <x:v>164603</x:v>
      </x:c>
      <x:c r="H15" s="20" t="str">
        <x:v>-</x:v>
      </x:c>
      <x:c r="I15" s="20" t="n">
        <x:v>270</x:v>
      </x:c>
      <x:c r="J15" s="20" t="n">
        <x:v>0</x:v>
      </x:c>
      <x:c r="K15" s="19" t="str">
        <x:v>-</x:v>
      </x:c>
      <x:c r="L15" s="19" t="str">
        <x:v>2025-03-19</x:v>
      </x:c>
      <x:c r="M15" s="19" t="str">
        <x:v>https://bo.nalog.gov.ru/organizations-card/7456001807</x:v>
      </x:c>
    </x:row>
    <x:row r="16">
      <x:c r="A16" s="19" t="str">
        <x:v>2 мин</x:v>
      </x:c>
      <x:c r="B16" s="19" t="n">
        <x:v>241</x:v>
      </x:c>
      <x:c r="C16" s="19" t="str">
        <x:v>Диканька</x:v>
      </x:c>
      <x:c r="D16" s="19" t="n">
        <x:v>2025</x:v>
      </x:c>
      <x:c r="E16" s="19" t="str">
        <x:v>ООО "ДИКАНЬКА"</x:v>
      </x:c>
      <x:c r="F16" s="19" t="str">
        <x:v>7456001807</x:v>
      </x:c>
      <x:c r="G16" s="20" t="n">
        <x:v>144505</x:v>
      </x:c>
      <x:c r="H16" s="20" t="str">
        <x:v>-</x:v>
      </x:c>
      <x:c r="I16" s="20" t="n">
        <x:v>0</x:v>
      </x:c>
      <x:c r="J16" s="20" t="n">
        <x:v>3220</x:v>
      </x:c>
      <x:c r="K16" s="19" t="str">
        <x:v>-</x:v>
      </x:c>
      <x:c r="L16" s="19" t="str">
        <x:v>2026-03-19</x:v>
      </x:c>
      <x:c r="M16" s="19" t="str">
        <x:v>https://bo.nalog.gov.ru/organizations-card/7456001807</x:v>
      </x:c>
    </x:row>
    <x:row r="17">
      <x:c r="A17" s="19" t="str">
        <x:v>2 мин</x:v>
      </x:c>
      <x:c r="B17" s="19" t="n">
        <x:v>246</x:v>
      </x:c>
      <x:c r="C17" s="19" t="str">
        <x:v>Чик Чак</x:v>
      </x:c>
      <x:c r="D17" s="19" t="n">
        <x:v>2023</x:v>
      </x:c>
      <x:c r="E17" s="19" t="str">
        <x:v>ООО "ЧАК-ЧАК"</x:v>
      </x:c>
      <x:c r="F17" s="19" t="str">
        <x:v>1655245067</x:v>
      </x:c>
      <x:c r="G17" s="20" t="n">
        <x:v>107076</x:v>
      </x:c>
      <x:c r="H17" s="20" t="str">
        <x:v>-</x:v>
      </x:c>
      <x:c r="I17" s="20" t="n">
        <x:v>333</x:v>
      </x:c>
      <x:c r="J17" s="20" t="n">
        <x:v>0</x:v>
      </x:c>
      <x:c r="K17" s="19" t="str">
        <x:v>-</x:v>
      </x:c>
      <x:c r="L17" s="19" t="str">
        <x:v>2024-04-06</x:v>
      </x:c>
      <x:c r="M17" s="19" t="str">
        <x:v>https://bo.nalog.gov.ru/organizations-card/1655245067</x:v>
      </x:c>
    </x:row>
    <x:row r="18">
      <x:c r="A18" s="19" t="str">
        <x:v>2 мин</x:v>
      </x:c>
      <x:c r="B18" s="19" t="n">
        <x:v>246</x:v>
      </x:c>
      <x:c r="C18" s="19" t="str">
        <x:v>Чик Чак</x:v>
      </x:c>
      <x:c r="D18" s="19" t="n">
        <x:v>2024</x:v>
      </x:c>
      <x:c r="E18" s="19" t="str">
        <x:v>ООО "ЧАК-ЧАК"</x:v>
      </x:c>
      <x:c r="F18" s="19" t="str">
        <x:v>1655245067</x:v>
      </x:c>
      <x:c r="G18" s="20" t="n">
        <x:v>126884</x:v>
      </x:c>
      <x:c r="H18" s="20" t="str">
        <x:v>-</x:v>
      </x:c>
      <x:c r="I18" s="20" t="n">
        <x:v>0</x:v>
      </x:c>
      <x:c r="J18" s="20" t="n">
        <x:v>5074</x:v>
      </x:c>
      <x:c r="K18" s="19" t="str">
        <x:v>-</x:v>
      </x:c>
      <x:c r="L18" s="19" t="str">
        <x:v>2025-02-24</x:v>
      </x:c>
      <x:c r="M18" s="19" t="str">
        <x:v>https://bo.nalog.gov.ru/organizations-card/1655245067</x:v>
      </x:c>
    </x:row>
    <x:row r="19">
      <x:c r="A19" s="19" t="str">
        <x:v>2 мин</x:v>
      </x:c>
      <x:c r="B19" s="19" t="n">
        <x:v>246</x:v>
      </x:c>
      <x:c r="C19" s="19" t="str">
        <x:v>Чик Чак</x:v>
      </x:c>
      <x:c r="D19" s="19" t="n">
        <x:v>2025</x:v>
      </x:c>
      <x:c r="E19" s="19" t="str">
        <x:v>ООО "ЧАК-ЧАК"</x:v>
      </x:c>
      <x:c r="F19" s="19" t="str">
        <x:v>1655245067</x:v>
      </x:c>
      <x:c r="G19" s="20" t="n">
        <x:v>149153</x:v>
      </x:c>
      <x:c r="H19" s="20" t="str">
        <x:v>-</x:v>
      </x:c>
      <x:c r="I19" s="20" t="n">
        <x:v>0</x:v>
      </x:c>
      <x:c r="J19" s="20" t="n">
        <x:v>1659</x:v>
      </x:c>
      <x:c r="K19" s="19" t="str">
        <x:v>-</x:v>
      </x:c>
      <x:c r="L19" s="19" t="str">
        <x:v>2026-02-27</x:v>
      </x:c>
      <x:c r="M19" s="19" t="str">
        <x:v>https://bo.nalog.gov.ru/organizations-card/1655245067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0" max="10" width="42.5" hidden="0" customWidth="1"/>
  </x:cols>
  <x:sheetData>
    <x:row r="1">
      <x:c r="A1" s="18" t="str">
        <x:v>Строка</x:v>
      </x:c>
      <x:c r="B1" s="18" t="str">
        <x:v>Название</x:v>
      </x:c>
      <x:c r="C1" s="18" t="str">
        <x:v>Год</x:v>
      </x:c>
      <x:c r="D1" s="18" t="str">
        <x:v>Квартал</x:v>
      </x:c>
      <x:c r="E1" s="18" t="str">
        <x:v>Выручка</x:v>
      </x:c>
      <x:c r="F1" s="18" t="str">
        <x:v>Валовая прибыль</x:v>
      </x:c>
      <x:c r="G1" s="18" t="str">
        <x:v>Чистая прибыль</x:v>
      </x:c>
      <x:c r="H1" s="18" t="str">
        <x:v>Чистый убыток</x:v>
      </x:c>
      <x:c r="I1" s="18" t="str">
        <x:v>Персонал</x:v>
      </x:c>
      <x:c r="J1" s="18" t="str">
        <x:v>Статус</x:v>
      </x:c>
    </x:row>
    <x:row r="2">
      <x:c r="A2" s="19" t="n">
        <x:v>187</x:v>
      </x:c>
      <x:c r="B2" s="19" t="str">
        <x:v>Вкусно — и точка</x:v>
      </x:c>
      <x:c r="C2" s="19" t="n">
        <x:v>2023</x:v>
      </x:c>
      <x:c r="D2" s="19" t="str">
        <x:v>Q1</x:v>
      </x:c>
      <x:c r="E2" s="19" t="str">
        <x:v>-</x:v>
      </x:c>
      <x:c r="F2" s="19" t="str">
        <x:v>-</x:v>
      </x:c>
      <x:c r="G2" s="19" t="str">
        <x:v>-</x:v>
      </x:c>
      <x:c r="H2" s="19" t="str">
        <x:v>-</x:v>
      </x:c>
      <x:c r="I2" s="19" t="str">
        <x:v>-</x:v>
      </x:c>
      <x:c r="J2" s="19" t="str">
        <x:v>Поквартальные данные не найдены в открытой ФНС БФО</x:v>
      </x:c>
    </x:row>
    <x:row r="3">
      <x:c r="A3" s="19" t="n">
        <x:v>187</x:v>
      </x:c>
      <x:c r="B3" s="19" t="str">
        <x:v>Вкусно — и точка</x:v>
      </x:c>
      <x:c r="C3" s="19" t="n">
        <x:v>2023</x:v>
      </x:c>
      <x:c r="D3" s="19" t="str">
        <x:v>Q2</x:v>
      </x:c>
      <x:c r="E3" s="19" t="str">
        <x:v>-</x:v>
      </x:c>
      <x:c r="F3" s="19" t="str">
        <x:v>-</x:v>
      </x:c>
      <x:c r="G3" s="19" t="str">
        <x:v>-</x:v>
      </x:c>
      <x:c r="H3" s="19" t="str">
        <x:v>-</x:v>
      </x:c>
      <x:c r="I3" s="19" t="str">
        <x:v>-</x:v>
      </x:c>
      <x:c r="J3" s="19" t="str">
        <x:v>Поквартальные данные не найдены в открытой ФНС БФО</x:v>
      </x:c>
    </x:row>
    <x:row r="4">
      <x:c r="A4" s="19" t="n">
        <x:v>187</x:v>
      </x:c>
      <x:c r="B4" s="19" t="str">
        <x:v>Вкусно — и точка</x:v>
      </x:c>
      <x:c r="C4" s="19" t="n">
        <x:v>2023</x:v>
      </x:c>
      <x:c r="D4" s="19" t="str">
        <x:v>Q3</x:v>
      </x:c>
      <x:c r="E4" s="19" t="str">
        <x:v>-</x:v>
      </x:c>
      <x:c r="F4" s="19" t="str">
        <x:v>-</x:v>
      </x:c>
      <x:c r="G4" s="19" t="str">
        <x:v>-</x:v>
      </x:c>
      <x:c r="H4" s="19" t="str">
        <x:v>-</x:v>
      </x:c>
      <x:c r="I4" s="19" t="str">
        <x:v>-</x:v>
      </x:c>
      <x:c r="J4" s="19" t="str">
        <x:v>Поквартальные данные не найдены в открытой ФНС БФО</x:v>
      </x:c>
    </x:row>
    <x:row r="5">
      <x:c r="A5" s="19" t="n">
        <x:v>187</x:v>
      </x:c>
      <x:c r="B5" s="19" t="str">
        <x:v>Вкусно — и точка</x:v>
      </x:c>
      <x:c r="C5" s="19" t="n">
        <x:v>2023</x:v>
      </x:c>
      <x:c r="D5" s="19" t="str">
        <x:v>Q4</x:v>
      </x:c>
      <x:c r="E5" s="19" t="str">
        <x:v>-</x:v>
      </x:c>
      <x:c r="F5" s="19" t="str">
        <x:v>-</x:v>
      </x:c>
      <x:c r="G5" s="19" t="str">
        <x:v>-</x:v>
      </x:c>
      <x:c r="H5" s="19" t="str">
        <x:v>-</x:v>
      </x:c>
      <x:c r="I5" s="19" t="str">
        <x:v>-</x:v>
      </x:c>
      <x:c r="J5" s="19" t="str">
        <x:v>Поквартальные данные не найдены в открытой ФНС БФО</x:v>
      </x:c>
    </x:row>
    <x:row r="6">
      <x:c r="A6" s="19" t="n">
        <x:v>187</x:v>
      </x:c>
      <x:c r="B6" s="19" t="str">
        <x:v>Вкусно — и точка</x:v>
      </x:c>
      <x:c r="C6" s="19" t="n">
        <x:v>2024</x:v>
      </x:c>
      <x:c r="D6" s="19" t="str">
        <x:v>Q1</x:v>
      </x:c>
      <x:c r="E6" s="19" t="str">
        <x:v>-</x:v>
      </x:c>
      <x:c r="F6" s="19" t="str">
        <x:v>-</x:v>
      </x:c>
      <x:c r="G6" s="19" t="str">
        <x:v>-</x:v>
      </x:c>
      <x:c r="H6" s="19" t="str">
        <x:v>-</x:v>
      </x:c>
      <x:c r="I6" s="19" t="str">
        <x:v>-</x:v>
      </x:c>
      <x:c r="J6" s="19" t="str">
        <x:v>Поквартальные данные не найдены в открытой ФНС БФО</x:v>
      </x:c>
    </x:row>
    <x:row r="7">
      <x:c r="A7" s="19" t="n">
        <x:v>187</x:v>
      </x:c>
      <x:c r="B7" s="19" t="str">
        <x:v>Вкусно — и точка</x:v>
      </x:c>
      <x:c r="C7" s="19" t="n">
        <x:v>2024</x:v>
      </x:c>
      <x:c r="D7" s="19" t="str">
        <x:v>Q2</x:v>
      </x:c>
      <x:c r="E7" s="19" t="str">
        <x:v>-</x:v>
      </x:c>
      <x:c r="F7" s="19" t="str">
        <x:v>-</x:v>
      </x:c>
      <x:c r="G7" s="19" t="str">
        <x:v>-</x:v>
      </x:c>
      <x:c r="H7" s="19" t="str">
        <x:v>-</x:v>
      </x:c>
      <x:c r="I7" s="19" t="str">
        <x:v>-</x:v>
      </x:c>
      <x:c r="J7" s="19" t="str">
        <x:v>Поквартальные данные не найдены в открытой ФНС БФО</x:v>
      </x:c>
    </x:row>
    <x:row r="8">
      <x:c r="A8" s="19" t="n">
        <x:v>187</x:v>
      </x:c>
      <x:c r="B8" s="19" t="str">
        <x:v>Вкусно — и точка</x:v>
      </x:c>
      <x:c r="C8" s="19" t="n">
        <x:v>2024</x:v>
      </x:c>
      <x:c r="D8" s="19" t="str">
        <x:v>Q3</x:v>
      </x:c>
      <x:c r="E8" s="19" t="str">
        <x:v>-</x:v>
      </x:c>
      <x:c r="F8" s="19" t="str">
        <x:v>-</x:v>
      </x:c>
      <x:c r="G8" s="19" t="str">
        <x:v>-</x:v>
      </x:c>
      <x:c r="H8" s="19" t="str">
        <x:v>-</x:v>
      </x:c>
      <x:c r="I8" s="19" t="str">
        <x:v>-</x:v>
      </x:c>
      <x:c r="J8" s="19" t="str">
        <x:v>Поквартальные данные не найдены в открытой ФНС БФО</x:v>
      </x:c>
    </x:row>
    <x:row r="9">
      <x:c r="A9" s="19" t="n">
        <x:v>187</x:v>
      </x:c>
      <x:c r="B9" s="19" t="str">
        <x:v>Вкусно — и точка</x:v>
      </x:c>
      <x:c r="C9" s="19" t="n">
        <x:v>2024</x:v>
      </x:c>
      <x:c r="D9" s="19" t="str">
        <x:v>Q4</x:v>
      </x:c>
      <x:c r="E9" s="19" t="str">
        <x:v>-</x:v>
      </x:c>
      <x:c r="F9" s="19" t="str">
        <x:v>-</x:v>
      </x:c>
      <x:c r="G9" s="19" t="str">
        <x:v>-</x:v>
      </x:c>
      <x:c r="H9" s="19" t="str">
        <x:v>-</x:v>
      </x:c>
      <x:c r="I9" s="19" t="str">
        <x:v>-</x:v>
      </x:c>
      <x:c r="J9" s="19" t="str">
        <x:v>Поквартальные данные не найдены в открытой ФНС БФО</x:v>
      </x:c>
    </x:row>
    <x:row r="10">
      <x:c r="A10" s="19" t="n">
        <x:v>187</x:v>
      </x:c>
      <x:c r="B10" s="19" t="str">
        <x:v>Вкусно — и точка</x:v>
      </x:c>
      <x:c r="C10" s="19" t="n">
        <x:v>2025</x:v>
      </x:c>
      <x:c r="D10" s="19" t="str">
        <x:v>Q1</x:v>
      </x:c>
      <x:c r="E10" s="19" t="str">
        <x:v>-</x:v>
      </x:c>
      <x:c r="F10" s="19" t="str">
        <x:v>-</x:v>
      </x:c>
      <x:c r="G10" s="19" t="str">
        <x:v>-</x:v>
      </x:c>
      <x:c r="H10" s="19" t="str">
        <x:v>-</x:v>
      </x:c>
      <x:c r="I10" s="19" t="str">
        <x:v>-</x:v>
      </x:c>
      <x:c r="J10" s="19" t="str">
        <x:v>Поквартальные данные не найдены в открытой ФНС БФО</x:v>
      </x:c>
    </x:row>
    <x:row r="11">
      <x:c r="A11" s="19" t="n">
        <x:v>187</x:v>
      </x:c>
      <x:c r="B11" s="19" t="str">
        <x:v>Вкусно — и точка</x:v>
      </x:c>
      <x:c r="C11" s="19" t="n">
        <x:v>2025</x:v>
      </x:c>
      <x:c r="D11" s="19" t="str">
        <x:v>Q2</x:v>
      </x:c>
      <x:c r="E11" s="19" t="str">
        <x:v>-</x:v>
      </x:c>
      <x:c r="F11" s="19" t="str">
        <x:v>-</x:v>
      </x:c>
      <x:c r="G11" s="19" t="str">
        <x:v>-</x:v>
      </x:c>
      <x:c r="H11" s="19" t="str">
        <x:v>-</x:v>
      </x:c>
      <x:c r="I11" s="19" t="str">
        <x:v>-</x:v>
      </x:c>
      <x:c r="J11" s="19" t="str">
        <x:v>Поквартальные данные не найдены в открытой ФНС БФО</x:v>
      </x:c>
    </x:row>
    <x:row r="12">
      <x:c r="A12" s="19" t="n">
        <x:v>187</x:v>
      </x:c>
      <x:c r="B12" s="19" t="str">
        <x:v>Вкусно — и точка</x:v>
      </x:c>
      <x:c r="C12" s="19" t="n">
        <x:v>2025</x:v>
      </x:c>
      <x:c r="D12" s="19" t="str">
        <x:v>Q3</x:v>
      </x:c>
      <x:c r="E12" s="19" t="str">
        <x:v>-</x:v>
      </x:c>
      <x:c r="F12" s="19" t="str">
        <x:v>-</x:v>
      </x:c>
      <x:c r="G12" s="19" t="str">
        <x:v>-</x:v>
      </x:c>
      <x:c r="H12" s="19" t="str">
        <x:v>-</x:v>
      </x:c>
      <x:c r="I12" s="19" t="str">
        <x:v>-</x:v>
      </x:c>
      <x:c r="J12" s="19" t="str">
        <x:v>Поквартальные данные не найдены в открытой ФНС БФО</x:v>
      </x:c>
    </x:row>
    <x:row r="13">
      <x:c r="A13" s="19" t="n">
        <x:v>187</x:v>
      </x:c>
      <x:c r="B13" s="19" t="str">
        <x:v>Вкусно — и точка</x:v>
      </x:c>
      <x:c r="C13" s="19" t="n">
        <x:v>2025</x:v>
      </x:c>
      <x:c r="D13" s="19" t="str">
        <x:v>Q4</x:v>
      </x:c>
      <x:c r="E13" s="19" t="str">
        <x:v>-</x:v>
      </x:c>
      <x:c r="F13" s="19" t="str">
        <x:v>-</x:v>
      </x:c>
      <x:c r="G13" s="19" t="str">
        <x:v>-</x:v>
      </x:c>
      <x:c r="H13" s="19" t="str">
        <x:v>-</x:v>
      </x:c>
      <x:c r="I13" s="19" t="str">
        <x:v>-</x:v>
      </x:c>
      <x:c r="J13" s="19" t="str">
        <x:v>Поквартальные данные не найдены в открытой ФНС БФО</x:v>
      </x:c>
    </x:row>
    <x:row r="14">
      <x:c r="A14" s="19" t="n">
        <x:v>223</x:v>
      </x:c>
      <x:c r="B14" s="19" t="str">
        <x:v>Rostic's</x:v>
      </x:c>
      <x:c r="C14" s="19" t="n">
        <x:v>2023</x:v>
      </x:c>
      <x:c r="D14" s="19" t="str">
        <x:v>Q1</x:v>
      </x:c>
      <x:c r="E14" s="19" t="str">
        <x:v>-</x:v>
      </x:c>
      <x:c r="F14" s="19" t="str">
        <x:v>-</x:v>
      </x:c>
      <x:c r="G14" s="19" t="str">
        <x:v>-</x:v>
      </x:c>
      <x:c r="H14" s="19" t="str">
        <x:v>-</x:v>
      </x:c>
      <x:c r="I14" s="19" t="str">
        <x:v>-</x:v>
      </x:c>
      <x:c r="J14" s="19" t="str">
        <x:v>Поквартальные данные не найдены в открытой ФНС БФО</x:v>
      </x:c>
    </x:row>
    <x:row r="15">
      <x:c r="A15" s="19" t="n">
        <x:v>223</x:v>
      </x:c>
      <x:c r="B15" s="19" t="str">
        <x:v>Rostic's</x:v>
      </x:c>
      <x:c r="C15" s="19" t="n">
        <x:v>2023</x:v>
      </x:c>
      <x:c r="D15" s="19" t="str">
        <x:v>Q2</x:v>
      </x:c>
      <x:c r="E15" s="19" t="str">
        <x:v>-</x:v>
      </x:c>
      <x:c r="F15" s="19" t="str">
        <x:v>-</x:v>
      </x:c>
      <x:c r="G15" s="19" t="str">
        <x:v>-</x:v>
      </x:c>
      <x:c r="H15" s="19" t="str">
        <x:v>-</x:v>
      </x:c>
      <x:c r="I15" s="19" t="str">
        <x:v>-</x:v>
      </x:c>
      <x:c r="J15" s="19" t="str">
        <x:v>Поквартальные данные не найдены в открытой ФНС БФО</x:v>
      </x:c>
    </x:row>
    <x:row r="16">
      <x:c r="A16" s="19" t="n">
        <x:v>223</x:v>
      </x:c>
      <x:c r="B16" s="19" t="str">
        <x:v>Rostic's</x:v>
      </x:c>
      <x:c r="C16" s="19" t="n">
        <x:v>2023</x:v>
      </x:c>
      <x:c r="D16" s="19" t="str">
        <x:v>Q3</x:v>
      </x:c>
      <x:c r="E16" s="19" t="str">
        <x:v>-</x:v>
      </x:c>
      <x:c r="F16" s="19" t="str">
        <x:v>-</x:v>
      </x:c>
      <x:c r="G16" s="19" t="str">
        <x:v>-</x:v>
      </x:c>
      <x:c r="H16" s="19" t="str">
        <x:v>-</x:v>
      </x:c>
      <x:c r="I16" s="19" t="str">
        <x:v>-</x:v>
      </x:c>
      <x:c r="J16" s="19" t="str">
        <x:v>Поквартальные данные не найдены в открытой ФНС БФО</x:v>
      </x:c>
    </x:row>
    <x:row r="17">
      <x:c r="A17" s="19" t="n">
        <x:v>223</x:v>
      </x:c>
      <x:c r="B17" s="19" t="str">
        <x:v>Rostic's</x:v>
      </x:c>
      <x:c r="C17" s="19" t="n">
        <x:v>2023</x:v>
      </x:c>
      <x:c r="D17" s="19" t="str">
        <x:v>Q4</x:v>
      </x:c>
      <x:c r="E17" s="19" t="str">
        <x:v>-</x:v>
      </x:c>
      <x:c r="F17" s="19" t="str">
        <x:v>-</x:v>
      </x:c>
      <x:c r="G17" s="19" t="str">
        <x:v>-</x:v>
      </x:c>
      <x:c r="H17" s="19" t="str">
        <x:v>-</x:v>
      </x:c>
      <x:c r="I17" s="19" t="str">
        <x:v>-</x:v>
      </x:c>
      <x:c r="J17" s="19" t="str">
        <x:v>Поквартальные данные не найдены в открытой ФНС БФО</x:v>
      </x:c>
    </x:row>
    <x:row r="18">
      <x:c r="A18" s="19" t="n">
        <x:v>223</x:v>
      </x:c>
      <x:c r="B18" s="19" t="str">
        <x:v>Rostic's</x:v>
      </x:c>
      <x:c r="C18" s="19" t="n">
        <x:v>2024</x:v>
      </x:c>
      <x:c r="D18" s="19" t="str">
        <x:v>Q1</x:v>
      </x:c>
      <x:c r="E18" s="19" t="str">
        <x:v>-</x:v>
      </x:c>
      <x:c r="F18" s="19" t="str">
        <x:v>-</x:v>
      </x:c>
      <x:c r="G18" s="19" t="str">
        <x:v>-</x:v>
      </x:c>
      <x:c r="H18" s="19" t="str">
        <x:v>-</x:v>
      </x:c>
      <x:c r="I18" s="19" t="str">
        <x:v>-</x:v>
      </x:c>
      <x:c r="J18" s="19" t="str">
        <x:v>Поквартальные данные не найдены в открытой ФНС БФО</x:v>
      </x:c>
    </x:row>
    <x:row r="19">
      <x:c r="A19" s="19" t="n">
        <x:v>223</x:v>
      </x:c>
      <x:c r="B19" s="19" t="str">
        <x:v>Rostic's</x:v>
      </x:c>
      <x:c r="C19" s="19" t="n">
        <x:v>2024</x:v>
      </x:c>
      <x:c r="D19" s="19" t="str">
        <x:v>Q2</x:v>
      </x:c>
      <x:c r="E19" s="19" t="str">
        <x:v>-</x:v>
      </x:c>
      <x:c r="F19" s="19" t="str">
        <x:v>-</x:v>
      </x:c>
      <x:c r="G19" s="19" t="str">
        <x:v>-</x:v>
      </x:c>
      <x:c r="H19" s="19" t="str">
        <x:v>-</x:v>
      </x:c>
      <x:c r="I19" s="19" t="str">
        <x:v>-</x:v>
      </x:c>
      <x:c r="J19" s="19" t="str">
        <x:v>Поквартальные данные не найдены в открытой ФНС БФО</x:v>
      </x:c>
    </x:row>
    <x:row r="20">
      <x:c r="A20" s="19" t="n">
        <x:v>223</x:v>
      </x:c>
      <x:c r="B20" s="19" t="str">
        <x:v>Rostic's</x:v>
      </x:c>
      <x:c r="C20" s="19" t="n">
        <x:v>2024</x:v>
      </x:c>
      <x:c r="D20" s="19" t="str">
        <x:v>Q3</x:v>
      </x:c>
      <x:c r="E20" s="19" t="str">
        <x:v>-</x:v>
      </x:c>
      <x:c r="F20" s="19" t="str">
        <x:v>-</x:v>
      </x:c>
      <x:c r="G20" s="19" t="str">
        <x:v>-</x:v>
      </x:c>
      <x:c r="H20" s="19" t="str">
        <x:v>-</x:v>
      </x:c>
      <x:c r="I20" s="19" t="str">
        <x:v>-</x:v>
      </x:c>
      <x:c r="J20" s="19" t="str">
        <x:v>Поквартальные данные не найдены в открытой ФНС БФО</x:v>
      </x:c>
    </x:row>
    <x:row r="21">
      <x:c r="A21" s="19" t="n">
        <x:v>223</x:v>
      </x:c>
      <x:c r="B21" s="19" t="str">
        <x:v>Rostic's</x:v>
      </x:c>
      <x:c r="C21" s="19" t="n">
        <x:v>2024</x:v>
      </x:c>
      <x:c r="D21" s="19" t="str">
        <x:v>Q4</x:v>
      </x:c>
      <x:c r="E21" s="19" t="str">
        <x:v>-</x:v>
      </x:c>
      <x:c r="F21" s="19" t="str">
        <x:v>-</x:v>
      </x:c>
      <x:c r="G21" s="19" t="str">
        <x:v>-</x:v>
      </x:c>
      <x:c r="H21" s="19" t="str">
        <x:v>-</x:v>
      </x:c>
      <x:c r="I21" s="19" t="str">
        <x:v>-</x:v>
      </x:c>
      <x:c r="J21" s="19" t="str">
        <x:v>Поквартальные данные не найдены в открытой ФНС БФО</x:v>
      </x:c>
    </x:row>
    <x:row r="22">
      <x:c r="A22" s="19" t="n">
        <x:v>223</x:v>
      </x:c>
      <x:c r="B22" s="19" t="str">
        <x:v>Rostic's</x:v>
      </x:c>
      <x:c r="C22" s="19" t="n">
        <x:v>2025</x:v>
      </x:c>
      <x:c r="D22" s="19" t="str">
        <x:v>Q1</x:v>
      </x:c>
      <x:c r="E22" s="19" t="str">
        <x:v>-</x:v>
      </x:c>
      <x:c r="F22" s="19" t="str">
        <x:v>-</x:v>
      </x:c>
      <x:c r="G22" s="19" t="str">
        <x:v>-</x:v>
      </x:c>
      <x:c r="H22" s="19" t="str">
        <x:v>-</x:v>
      </x:c>
      <x:c r="I22" s="19" t="str">
        <x:v>-</x:v>
      </x:c>
      <x:c r="J22" s="19" t="str">
        <x:v>Поквартальные данные не найдены в открытой ФНС БФО</x:v>
      </x:c>
    </x:row>
    <x:row r="23">
      <x:c r="A23" s="19" t="n">
        <x:v>223</x:v>
      </x:c>
      <x:c r="B23" s="19" t="str">
        <x:v>Rostic's</x:v>
      </x:c>
      <x:c r="C23" s="19" t="n">
        <x:v>2025</x:v>
      </x:c>
      <x:c r="D23" s="19" t="str">
        <x:v>Q2</x:v>
      </x:c>
      <x:c r="E23" s="19" t="str">
        <x:v>-</x:v>
      </x:c>
      <x:c r="F23" s="19" t="str">
        <x:v>-</x:v>
      </x:c>
      <x:c r="G23" s="19" t="str">
        <x:v>-</x:v>
      </x:c>
      <x:c r="H23" s="19" t="str">
        <x:v>-</x:v>
      </x:c>
      <x:c r="I23" s="19" t="str">
        <x:v>-</x:v>
      </x:c>
      <x:c r="J23" s="19" t="str">
        <x:v>Поквартальные данные не найдены в открытой ФНС БФО</x:v>
      </x:c>
    </x:row>
    <x:row r="24">
      <x:c r="A24" s="19" t="n">
        <x:v>223</x:v>
      </x:c>
      <x:c r="B24" s="19" t="str">
        <x:v>Rostic's</x:v>
      </x:c>
      <x:c r="C24" s="19" t="n">
        <x:v>2025</x:v>
      </x:c>
      <x:c r="D24" s="19" t="str">
        <x:v>Q3</x:v>
      </x:c>
      <x:c r="E24" s="19" t="str">
        <x:v>-</x:v>
      </x:c>
      <x:c r="F24" s="19" t="str">
        <x:v>-</x:v>
      </x:c>
      <x:c r="G24" s="19" t="str">
        <x:v>-</x:v>
      </x:c>
      <x:c r="H24" s="19" t="str">
        <x:v>-</x:v>
      </x:c>
      <x:c r="I24" s="19" t="str">
        <x:v>-</x:v>
      </x:c>
      <x:c r="J24" s="19" t="str">
        <x:v>Поквартальные данные не найдены в открытой ФНС БФО</x:v>
      </x:c>
    </x:row>
    <x:row r="25">
      <x:c r="A25" s="19" t="n">
        <x:v>223</x:v>
      </x:c>
      <x:c r="B25" s="19" t="str">
        <x:v>Rostic's</x:v>
      </x:c>
      <x:c r="C25" s="19" t="n">
        <x:v>2025</x:v>
      </x:c>
      <x:c r="D25" s="19" t="str">
        <x:v>Q4</x:v>
      </x:c>
      <x:c r="E25" s="19" t="str">
        <x:v>-</x:v>
      </x:c>
      <x:c r="F25" s="19" t="str">
        <x:v>-</x:v>
      </x:c>
      <x:c r="G25" s="19" t="str">
        <x:v>-</x:v>
      </x:c>
      <x:c r="H25" s="19" t="str">
        <x:v>-</x:v>
      </x:c>
      <x:c r="I25" s="19" t="str">
        <x:v>-</x:v>
      </x:c>
      <x:c r="J25" s="19" t="str">
        <x:v>Поквартальные данные не найдены в открытой ФНС БФО</x:v>
      </x:c>
    </x:row>
    <x:row r="26">
      <x:c r="A26" s="19" t="n">
        <x:v>188</x:v>
      </x:c>
      <x:c r="B26" s="19" t="str">
        <x:v>Дар Пицца</x:v>
      </x:c>
      <x:c r="C26" s="19" t="n">
        <x:v>2023</x:v>
      </x:c>
      <x:c r="D26" s="19" t="str">
        <x:v>Q1</x:v>
      </x:c>
      <x:c r="E26" s="19" t="str">
        <x:v>-</x:v>
      </x:c>
      <x:c r="F26" s="19" t="str">
        <x:v>-</x:v>
      </x:c>
      <x:c r="G26" s="19" t="str">
        <x:v>-</x:v>
      </x:c>
      <x:c r="H26" s="19" t="str">
        <x:v>-</x:v>
      </x:c>
      <x:c r="I26" s="19" t="str">
        <x:v>-</x:v>
      </x:c>
      <x:c r="J26" s="19" t="str">
        <x:v>Поквартальные данные не найдены в открытой ФНС БФО</x:v>
      </x:c>
    </x:row>
    <x:row r="27">
      <x:c r="A27" s="19" t="n">
        <x:v>188</x:v>
      </x:c>
      <x:c r="B27" s="19" t="str">
        <x:v>Дар Пицца</x:v>
      </x:c>
      <x:c r="C27" s="19" t="n">
        <x:v>2023</x:v>
      </x:c>
      <x:c r="D27" s="19" t="str">
        <x:v>Q2</x:v>
      </x:c>
      <x:c r="E27" s="19" t="str">
        <x:v>-</x:v>
      </x:c>
      <x:c r="F27" s="19" t="str">
        <x:v>-</x:v>
      </x:c>
      <x:c r="G27" s="19" t="str">
        <x:v>-</x:v>
      </x:c>
      <x:c r="H27" s="19" t="str">
        <x:v>-</x:v>
      </x:c>
      <x:c r="I27" s="19" t="str">
        <x:v>-</x:v>
      </x:c>
      <x:c r="J27" s="19" t="str">
        <x:v>Поквартальные данные не найдены в открытой ФНС БФО</x:v>
      </x:c>
    </x:row>
    <x:row r="28">
      <x:c r="A28" s="19" t="n">
        <x:v>188</x:v>
      </x:c>
      <x:c r="B28" s="19" t="str">
        <x:v>Дар Пицца</x:v>
      </x:c>
      <x:c r="C28" s="19" t="n">
        <x:v>2023</x:v>
      </x:c>
      <x:c r="D28" s="19" t="str">
        <x:v>Q3</x:v>
      </x:c>
      <x:c r="E28" s="19" t="str">
        <x:v>-</x:v>
      </x:c>
      <x:c r="F28" s="19" t="str">
        <x:v>-</x:v>
      </x:c>
      <x:c r="G28" s="19" t="str">
        <x:v>-</x:v>
      </x:c>
      <x:c r="H28" s="19" t="str">
        <x:v>-</x:v>
      </x:c>
      <x:c r="I28" s="19" t="str">
        <x:v>-</x:v>
      </x:c>
      <x:c r="J28" s="19" t="str">
        <x:v>Поквартальные данные не найдены в открытой ФНС БФО</x:v>
      </x:c>
    </x:row>
    <x:row r="29">
      <x:c r="A29" s="19" t="n">
        <x:v>188</x:v>
      </x:c>
      <x:c r="B29" s="19" t="str">
        <x:v>Дар Пицца</x:v>
      </x:c>
      <x:c r="C29" s="19" t="n">
        <x:v>2023</x:v>
      </x:c>
      <x:c r="D29" s="19" t="str">
        <x:v>Q4</x:v>
      </x:c>
      <x:c r="E29" s="19" t="str">
        <x:v>-</x:v>
      </x:c>
      <x:c r="F29" s="19" t="str">
        <x:v>-</x:v>
      </x:c>
      <x:c r="G29" s="19" t="str">
        <x:v>-</x:v>
      </x:c>
      <x:c r="H29" s="19" t="str">
        <x:v>-</x:v>
      </x:c>
      <x:c r="I29" s="19" t="str">
        <x:v>-</x:v>
      </x:c>
      <x:c r="J29" s="19" t="str">
        <x:v>Поквартальные данные не найдены в открытой ФНС БФО</x:v>
      </x:c>
    </x:row>
    <x:row r="30">
      <x:c r="A30" s="19" t="n">
        <x:v>188</x:v>
      </x:c>
      <x:c r="B30" s="19" t="str">
        <x:v>Дар Пицца</x:v>
      </x:c>
      <x:c r="C30" s="19" t="n">
        <x:v>2024</x:v>
      </x:c>
      <x:c r="D30" s="19" t="str">
        <x:v>Q1</x:v>
      </x:c>
      <x:c r="E30" s="19" t="str">
        <x:v>-</x:v>
      </x:c>
      <x:c r="F30" s="19" t="str">
        <x:v>-</x:v>
      </x:c>
      <x:c r="G30" s="19" t="str">
        <x:v>-</x:v>
      </x:c>
      <x:c r="H30" s="19" t="str">
        <x:v>-</x:v>
      </x:c>
      <x:c r="I30" s="19" t="str">
        <x:v>-</x:v>
      </x:c>
      <x:c r="J30" s="19" t="str">
        <x:v>Поквартальные данные не найдены в открытой ФНС БФО</x:v>
      </x:c>
    </x:row>
    <x:row r="31">
      <x:c r="A31" s="19" t="n">
        <x:v>188</x:v>
      </x:c>
      <x:c r="B31" s="19" t="str">
        <x:v>Дар Пицца</x:v>
      </x:c>
      <x:c r="C31" s="19" t="n">
        <x:v>2024</x:v>
      </x:c>
      <x:c r="D31" s="19" t="str">
        <x:v>Q2</x:v>
      </x:c>
      <x:c r="E31" s="19" t="str">
        <x:v>-</x:v>
      </x:c>
      <x:c r="F31" s="19" t="str">
        <x:v>-</x:v>
      </x:c>
      <x:c r="G31" s="19" t="str">
        <x:v>-</x:v>
      </x:c>
      <x:c r="H31" s="19" t="str">
        <x:v>-</x:v>
      </x:c>
      <x:c r="I31" s="19" t="str">
        <x:v>-</x:v>
      </x:c>
      <x:c r="J31" s="19" t="str">
        <x:v>Поквартальные данные не найдены в открытой ФНС БФО</x:v>
      </x:c>
    </x:row>
    <x:row r="32">
      <x:c r="A32" s="19" t="n">
        <x:v>188</x:v>
      </x:c>
      <x:c r="B32" s="19" t="str">
        <x:v>Дар Пицца</x:v>
      </x:c>
      <x:c r="C32" s="19" t="n">
        <x:v>2024</x:v>
      </x:c>
      <x:c r="D32" s="19" t="str">
        <x:v>Q3</x:v>
      </x:c>
      <x:c r="E32" s="19" t="str">
        <x:v>-</x:v>
      </x:c>
      <x:c r="F32" s="19" t="str">
        <x:v>-</x:v>
      </x:c>
      <x:c r="G32" s="19" t="str">
        <x:v>-</x:v>
      </x:c>
      <x:c r="H32" s="19" t="str">
        <x:v>-</x:v>
      </x:c>
      <x:c r="I32" s="19" t="str">
        <x:v>-</x:v>
      </x:c>
      <x:c r="J32" s="19" t="str">
        <x:v>Поквартальные данные не найдены в открытой ФНС БФО</x:v>
      </x:c>
    </x:row>
    <x:row r="33">
      <x:c r="A33" s="19" t="n">
        <x:v>188</x:v>
      </x:c>
      <x:c r="B33" s="19" t="str">
        <x:v>Дар Пицца</x:v>
      </x:c>
      <x:c r="C33" s="19" t="n">
        <x:v>2024</x:v>
      </x:c>
      <x:c r="D33" s="19" t="str">
        <x:v>Q4</x:v>
      </x:c>
      <x:c r="E33" s="19" t="str">
        <x:v>-</x:v>
      </x:c>
      <x:c r="F33" s="19" t="str">
        <x:v>-</x:v>
      </x:c>
      <x:c r="G33" s="19" t="str">
        <x:v>-</x:v>
      </x:c>
      <x:c r="H33" s="19" t="str">
        <x:v>-</x:v>
      </x:c>
      <x:c r="I33" s="19" t="str">
        <x:v>-</x:v>
      </x:c>
      <x:c r="J33" s="19" t="str">
        <x:v>Поквартальные данные не найдены в открытой ФНС БФО</x:v>
      </x:c>
    </x:row>
    <x:row r="34">
      <x:c r="A34" s="19" t="n">
        <x:v>188</x:v>
      </x:c>
      <x:c r="B34" s="19" t="str">
        <x:v>Дар Пицца</x:v>
      </x:c>
      <x:c r="C34" s="19" t="n">
        <x:v>2025</x:v>
      </x:c>
      <x:c r="D34" s="19" t="str">
        <x:v>Q1</x:v>
      </x:c>
      <x:c r="E34" s="19" t="str">
        <x:v>-</x:v>
      </x:c>
      <x:c r="F34" s="19" t="str">
        <x:v>-</x:v>
      </x:c>
      <x:c r="G34" s="19" t="str">
        <x:v>-</x:v>
      </x:c>
      <x:c r="H34" s="19" t="str">
        <x:v>-</x:v>
      </x:c>
      <x:c r="I34" s="19" t="str">
        <x:v>-</x:v>
      </x:c>
      <x:c r="J34" s="19" t="str">
        <x:v>Поквартальные данные не найдены в открытой ФНС БФО</x:v>
      </x:c>
    </x:row>
    <x:row r="35">
      <x:c r="A35" s="19" t="n">
        <x:v>188</x:v>
      </x:c>
      <x:c r="B35" s="19" t="str">
        <x:v>Дар Пицца</x:v>
      </x:c>
      <x:c r="C35" s="19" t="n">
        <x:v>2025</x:v>
      </x:c>
      <x:c r="D35" s="19" t="str">
        <x:v>Q2</x:v>
      </x:c>
      <x:c r="E35" s="19" t="str">
        <x:v>-</x:v>
      </x:c>
      <x:c r="F35" s="19" t="str">
        <x:v>-</x:v>
      </x:c>
      <x:c r="G35" s="19" t="str">
        <x:v>-</x:v>
      </x:c>
      <x:c r="H35" s="19" t="str">
        <x:v>-</x:v>
      </x:c>
      <x:c r="I35" s="19" t="str">
        <x:v>-</x:v>
      </x:c>
      <x:c r="J35" s="19" t="str">
        <x:v>Поквартальные данные не найдены в открытой ФНС БФО</x:v>
      </x:c>
    </x:row>
    <x:row r="36">
      <x:c r="A36" s="19" t="n">
        <x:v>188</x:v>
      </x:c>
      <x:c r="B36" s="19" t="str">
        <x:v>Дар Пицца</x:v>
      </x:c>
      <x:c r="C36" s="19" t="n">
        <x:v>2025</x:v>
      </x:c>
      <x:c r="D36" s="19" t="str">
        <x:v>Q3</x:v>
      </x:c>
      <x:c r="E36" s="19" t="str">
        <x:v>-</x:v>
      </x:c>
      <x:c r="F36" s="19" t="str">
        <x:v>-</x:v>
      </x:c>
      <x:c r="G36" s="19" t="str">
        <x:v>-</x:v>
      </x:c>
      <x:c r="H36" s="19" t="str">
        <x:v>-</x:v>
      </x:c>
      <x:c r="I36" s="19" t="str">
        <x:v>-</x:v>
      </x:c>
      <x:c r="J36" s="19" t="str">
        <x:v>Поквартальные данные не найдены в открытой ФНС БФО</x:v>
      </x:c>
    </x:row>
    <x:row r="37">
      <x:c r="A37" s="19" t="n">
        <x:v>188</x:v>
      </x:c>
      <x:c r="B37" s="19" t="str">
        <x:v>Дар Пицца</x:v>
      </x:c>
      <x:c r="C37" s="19" t="n">
        <x:v>2025</x:v>
      </x:c>
      <x:c r="D37" s="19" t="str">
        <x:v>Q4</x:v>
      </x:c>
      <x:c r="E37" s="19" t="str">
        <x:v>-</x:v>
      </x:c>
      <x:c r="F37" s="19" t="str">
        <x:v>-</x:v>
      </x:c>
      <x:c r="G37" s="19" t="str">
        <x:v>-</x:v>
      </x:c>
      <x:c r="H37" s="19" t="str">
        <x:v>-</x:v>
      </x:c>
      <x:c r="I37" s="19" t="str">
        <x:v>-</x:v>
      </x:c>
      <x:c r="J37" s="19" t="str">
        <x:v>Поквартальные данные не найдены в открытой ФНС БФО</x:v>
      </x:c>
    </x:row>
    <x:row r="38">
      <x:c r="A38" s="19" t="n">
        <x:v>217</x:v>
      </x:c>
      <x:c r="B38" s="19" t="str">
        <x:v>Баблс</x:v>
      </x:c>
      <x:c r="C38" s="19" t="n">
        <x:v>2023</x:v>
      </x:c>
      <x:c r="D38" s="19" t="str">
        <x:v>Q1</x:v>
      </x:c>
      <x:c r="E38" s="19" t="str">
        <x:v>-</x:v>
      </x:c>
      <x:c r="F38" s="19" t="str">
        <x:v>-</x:v>
      </x:c>
      <x:c r="G38" s="19" t="str">
        <x:v>-</x:v>
      </x:c>
      <x:c r="H38" s="19" t="str">
        <x:v>-</x:v>
      </x:c>
      <x:c r="I38" s="19" t="str">
        <x:v>-</x:v>
      </x:c>
      <x:c r="J38" s="19" t="str">
        <x:v>Поквартальные данные не найдены в открытой ФНС БФО</x:v>
      </x:c>
    </x:row>
    <x:row r="39">
      <x:c r="A39" s="19" t="n">
        <x:v>217</x:v>
      </x:c>
      <x:c r="B39" s="19" t="str">
        <x:v>Баблс</x:v>
      </x:c>
      <x:c r="C39" s="19" t="n">
        <x:v>2023</x:v>
      </x:c>
      <x:c r="D39" s="19" t="str">
        <x:v>Q2</x:v>
      </x:c>
      <x:c r="E39" s="19" t="str">
        <x:v>-</x:v>
      </x:c>
      <x:c r="F39" s="19" t="str">
        <x:v>-</x:v>
      </x:c>
      <x:c r="G39" s="19" t="str">
        <x:v>-</x:v>
      </x:c>
      <x:c r="H39" s="19" t="str">
        <x:v>-</x:v>
      </x:c>
      <x:c r="I39" s="19" t="str">
        <x:v>-</x:v>
      </x:c>
      <x:c r="J39" s="19" t="str">
        <x:v>Поквартальные данные не найдены в открытой ФНС БФО</x:v>
      </x:c>
    </x:row>
    <x:row r="40">
      <x:c r="A40" s="19" t="n">
        <x:v>217</x:v>
      </x:c>
      <x:c r="B40" s="19" t="str">
        <x:v>Баблс</x:v>
      </x:c>
      <x:c r="C40" s="19" t="n">
        <x:v>2023</x:v>
      </x:c>
      <x:c r="D40" s="19" t="str">
        <x:v>Q3</x:v>
      </x:c>
      <x:c r="E40" s="19" t="str">
        <x:v>-</x:v>
      </x:c>
      <x:c r="F40" s="19" t="str">
        <x:v>-</x:v>
      </x:c>
      <x:c r="G40" s="19" t="str">
        <x:v>-</x:v>
      </x:c>
      <x:c r="H40" s="19" t="str">
        <x:v>-</x:v>
      </x:c>
      <x:c r="I40" s="19" t="str">
        <x:v>-</x:v>
      </x:c>
      <x:c r="J40" s="19" t="str">
        <x:v>Поквартальные данные не найдены в открытой ФНС БФО</x:v>
      </x:c>
    </x:row>
    <x:row r="41">
      <x:c r="A41" s="19" t="n">
        <x:v>217</x:v>
      </x:c>
      <x:c r="B41" s="19" t="str">
        <x:v>Баблс</x:v>
      </x:c>
      <x:c r="C41" s="19" t="n">
        <x:v>2023</x:v>
      </x:c>
      <x:c r="D41" s="19" t="str">
        <x:v>Q4</x:v>
      </x:c>
      <x:c r="E41" s="19" t="str">
        <x:v>-</x:v>
      </x:c>
      <x:c r="F41" s="19" t="str">
        <x:v>-</x:v>
      </x:c>
      <x:c r="G41" s="19" t="str">
        <x:v>-</x:v>
      </x:c>
      <x:c r="H41" s="19" t="str">
        <x:v>-</x:v>
      </x:c>
      <x:c r="I41" s="19" t="str">
        <x:v>-</x:v>
      </x:c>
      <x:c r="J41" s="19" t="str">
        <x:v>Поквартальные данные не найдены в открытой ФНС БФО</x:v>
      </x:c>
    </x:row>
    <x:row r="42">
      <x:c r="A42" s="19" t="n">
        <x:v>217</x:v>
      </x:c>
      <x:c r="B42" s="19" t="str">
        <x:v>Баблс</x:v>
      </x:c>
      <x:c r="C42" s="19" t="n">
        <x:v>2024</x:v>
      </x:c>
      <x:c r="D42" s="19" t="str">
        <x:v>Q1</x:v>
      </x:c>
      <x:c r="E42" s="19" t="str">
        <x:v>-</x:v>
      </x:c>
      <x:c r="F42" s="19" t="str">
        <x:v>-</x:v>
      </x:c>
      <x:c r="G42" s="19" t="str">
        <x:v>-</x:v>
      </x:c>
      <x:c r="H42" s="19" t="str">
        <x:v>-</x:v>
      </x:c>
      <x:c r="I42" s="19" t="str">
        <x:v>-</x:v>
      </x:c>
      <x:c r="J42" s="19" t="str">
        <x:v>Поквартальные данные не найдены в открытой ФНС БФО</x:v>
      </x:c>
    </x:row>
    <x:row r="43">
      <x:c r="A43" s="19" t="n">
        <x:v>217</x:v>
      </x:c>
      <x:c r="B43" s="19" t="str">
        <x:v>Баблс</x:v>
      </x:c>
      <x:c r="C43" s="19" t="n">
        <x:v>2024</x:v>
      </x:c>
      <x:c r="D43" s="19" t="str">
        <x:v>Q2</x:v>
      </x:c>
      <x:c r="E43" s="19" t="str">
        <x:v>-</x:v>
      </x:c>
      <x:c r="F43" s="19" t="str">
        <x:v>-</x:v>
      </x:c>
      <x:c r="G43" s="19" t="str">
        <x:v>-</x:v>
      </x:c>
      <x:c r="H43" s="19" t="str">
        <x:v>-</x:v>
      </x:c>
      <x:c r="I43" s="19" t="str">
        <x:v>-</x:v>
      </x:c>
      <x:c r="J43" s="19" t="str">
        <x:v>Поквартальные данные не найдены в открытой ФНС БФО</x:v>
      </x:c>
    </x:row>
    <x:row r="44">
      <x:c r="A44" s="19" t="n">
        <x:v>217</x:v>
      </x:c>
      <x:c r="B44" s="19" t="str">
        <x:v>Баблс</x:v>
      </x:c>
      <x:c r="C44" s="19" t="n">
        <x:v>2024</x:v>
      </x:c>
      <x:c r="D44" s="19" t="str">
        <x:v>Q3</x:v>
      </x:c>
      <x:c r="E44" s="19" t="str">
        <x:v>-</x:v>
      </x:c>
      <x:c r="F44" s="19" t="str">
        <x:v>-</x:v>
      </x:c>
      <x:c r="G44" s="19" t="str">
        <x:v>-</x:v>
      </x:c>
      <x:c r="H44" s="19" t="str">
        <x:v>-</x:v>
      </x:c>
      <x:c r="I44" s="19" t="str">
        <x:v>-</x:v>
      </x:c>
      <x:c r="J44" s="19" t="str">
        <x:v>Поквартальные данные не найдены в открытой ФНС БФО</x:v>
      </x:c>
    </x:row>
    <x:row r="45">
      <x:c r="A45" s="19" t="n">
        <x:v>217</x:v>
      </x:c>
      <x:c r="B45" s="19" t="str">
        <x:v>Баблс</x:v>
      </x:c>
      <x:c r="C45" s="19" t="n">
        <x:v>2024</x:v>
      </x:c>
      <x:c r="D45" s="19" t="str">
        <x:v>Q4</x:v>
      </x:c>
      <x:c r="E45" s="19" t="str">
        <x:v>-</x:v>
      </x:c>
      <x:c r="F45" s="19" t="str">
        <x:v>-</x:v>
      </x:c>
      <x:c r="G45" s="19" t="str">
        <x:v>-</x:v>
      </x:c>
      <x:c r="H45" s="19" t="str">
        <x:v>-</x:v>
      </x:c>
      <x:c r="I45" s="19" t="str">
        <x:v>-</x:v>
      </x:c>
      <x:c r="J45" s="19" t="str">
        <x:v>Поквартальные данные не найдены в открытой ФНС БФО</x:v>
      </x:c>
    </x:row>
    <x:row r="46">
      <x:c r="A46" s="19" t="n">
        <x:v>217</x:v>
      </x:c>
      <x:c r="B46" s="19" t="str">
        <x:v>Баблс</x:v>
      </x:c>
      <x:c r="C46" s="19" t="n">
        <x:v>2025</x:v>
      </x:c>
      <x:c r="D46" s="19" t="str">
        <x:v>Q1</x:v>
      </x:c>
      <x:c r="E46" s="19" t="str">
        <x:v>-</x:v>
      </x:c>
      <x:c r="F46" s="19" t="str">
        <x:v>-</x:v>
      </x:c>
      <x:c r="G46" s="19" t="str">
        <x:v>-</x:v>
      </x:c>
      <x:c r="H46" s="19" t="str">
        <x:v>-</x:v>
      </x:c>
      <x:c r="I46" s="19" t="str">
        <x:v>-</x:v>
      </x:c>
      <x:c r="J46" s="19" t="str">
        <x:v>Поквартальные данные не найдены в открытой ФНС БФО</x:v>
      </x:c>
    </x:row>
    <x:row r="47">
      <x:c r="A47" s="19" t="n">
        <x:v>217</x:v>
      </x:c>
      <x:c r="B47" s="19" t="str">
        <x:v>Баблс</x:v>
      </x:c>
      <x:c r="C47" s="19" t="n">
        <x:v>2025</x:v>
      </x:c>
      <x:c r="D47" s="19" t="str">
        <x:v>Q2</x:v>
      </x:c>
      <x:c r="E47" s="19" t="str">
        <x:v>-</x:v>
      </x:c>
      <x:c r="F47" s="19" t="str">
        <x:v>-</x:v>
      </x:c>
      <x:c r="G47" s="19" t="str">
        <x:v>-</x:v>
      </x:c>
      <x:c r="H47" s="19" t="str">
        <x:v>-</x:v>
      </x:c>
      <x:c r="I47" s="19" t="str">
        <x:v>-</x:v>
      </x:c>
      <x:c r="J47" s="19" t="str">
        <x:v>Поквартальные данные не найдены в открытой ФНС БФО</x:v>
      </x:c>
    </x:row>
    <x:row r="48">
      <x:c r="A48" s="19" t="n">
        <x:v>217</x:v>
      </x:c>
      <x:c r="B48" s="19" t="str">
        <x:v>Баблс</x:v>
      </x:c>
      <x:c r="C48" s="19" t="n">
        <x:v>2025</x:v>
      </x:c>
      <x:c r="D48" s="19" t="str">
        <x:v>Q3</x:v>
      </x:c>
      <x:c r="E48" s="19" t="str">
        <x:v>-</x:v>
      </x:c>
      <x:c r="F48" s="19" t="str">
        <x:v>-</x:v>
      </x:c>
      <x:c r="G48" s="19" t="str">
        <x:v>-</x:v>
      </x:c>
      <x:c r="H48" s="19" t="str">
        <x:v>-</x:v>
      </x:c>
      <x:c r="I48" s="19" t="str">
        <x:v>-</x:v>
      </x:c>
      <x:c r="J48" s="19" t="str">
        <x:v>Поквартальные данные не найдены в открытой ФНС БФО</x:v>
      </x:c>
    </x:row>
    <x:row r="49">
      <x:c r="A49" s="19" t="n">
        <x:v>217</x:v>
      </x:c>
      <x:c r="B49" s="19" t="str">
        <x:v>Баблс</x:v>
      </x:c>
      <x:c r="C49" s="19" t="n">
        <x:v>2025</x:v>
      </x:c>
      <x:c r="D49" s="19" t="str">
        <x:v>Q4</x:v>
      </x:c>
      <x:c r="E49" s="19" t="str">
        <x:v>-</x:v>
      </x:c>
      <x:c r="F49" s="19" t="str">
        <x:v>-</x:v>
      </x:c>
      <x:c r="G49" s="19" t="str">
        <x:v>-</x:v>
      </x:c>
      <x:c r="H49" s="19" t="str">
        <x:v>-</x:v>
      </x:c>
      <x:c r="I49" s="19" t="str">
        <x:v>-</x:v>
      </x:c>
      <x:c r="J49" s="19" t="str">
        <x:v>Поквартальные данные не найдены в открытой ФНС БФО</x:v>
      </x:c>
    </x:row>
    <x:row r="50">
      <x:c r="A50" s="19" t="n">
        <x:v>241</x:v>
      </x:c>
      <x:c r="B50" s="19" t="str">
        <x:v>Диканька</x:v>
      </x:c>
      <x:c r="C50" s="19" t="n">
        <x:v>2023</x:v>
      </x:c>
      <x:c r="D50" s="19" t="str">
        <x:v>Q1</x:v>
      </x:c>
      <x:c r="E50" s="19" t="str">
        <x:v>-</x:v>
      </x:c>
      <x:c r="F50" s="19" t="str">
        <x:v>-</x:v>
      </x:c>
      <x:c r="G50" s="19" t="str">
        <x:v>-</x:v>
      </x:c>
      <x:c r="H50" s="19" t="str">
        <x:v>-</x:v>
      </x:c>
      <x:c r="I50" s="19" t="str">
        <x:v>-</x:v>
      </x:c>
      <x:c r="J50" s="19" t="str">
        <x:v>Поквартальные данные не найдены в открытой ФНС БФО</x:v>
      </x:c>
    </x:row>
    <x:row r="51">
      <x:c r="A51" s="19" t="n">
        <x:v>241</x:v>
      </x:c>
      <x:c r="B51" s="19" t="str">
        <x:v>Диканька</x:v>
      </x:c>
      <x:c r="C51" s="19" t="n">
        <x:v>2023</x:v>
      </x:c>
      <x:c r="D51" s="19" t="str">
        <x:v>Q2</x:v>
      </x:c>
      <x:c r="E51" s="19" t="str">
        <x:v>-</x:v>
      </x:c>
      <x:c r="F51" s="19" t="str">
        <x:v>-</x:v>
      </x:c>
      <x:c r="G51" s="19" t="str">
        <x:v>-</x:v>
      </x:c>
      <x:c r="H51" s="19" t="str">
        <x:v>-</x:v>
      </x:c>
      <x:c r="I51" s="19" t="str">
        <x:v>-</x:v>
      </x:c>
      <x:c r="J51" s="19" t="str">
        <x:v>Поквартальные данные не найдены в открытой ФНС БФО</x:v>
      </x:c>
    </x:row>
    <x:row r="52">
      <x:c r="A52" s="19" t="n">
        <x:v>241</x:v>
      </x:c>
      <x:c r="B52" s="19" t="str">
        <x:v>Диканька</x:v>
      </x:c>
      <x:c r="C52" s="19" t="n">
        <x:v>2023</x:v>
      </x:c>
      <x:c r="D52" s="19" t="str">
        <x:v>Q3</x:v>
      </x:c>
      <x:c r="E52" s="19" t="str">
        <x:v>-</x:v>
      </x:c>
      <x:c r="F52" s="19" t="str">
        <x:v>-</x:v>
      </x:c>
      <x:c r="G52" s="19" t="str">
        <x:v>-</x:v>
      </x:c>
      <x:c r="H52" s="19" t="str">
        <x:v>-</x:v>
      </x:c>
      <x:c r="I52" s="19" t="str">
        <x:v>-</x:v>
      </x:c>
      <x:c r="J52" s="19" t="str">
        <x:v>Поквартальные данные не найдены в открытой ФНС БФО</x:v>
      </x:c>
    </x:row>
    <x:row r="53">
      <x:c r="A53" s="19" t="n">
        <x:v>241</x:v>
      </x:c>
      <x:c r="B53" s="19" t="str">
        <x:v>Диканька</x:v>
      </x:c>
      <x:c r="C53" s="19" t="n">
        <x:v>2023</x:v>
      </x:c>
      <x:c r="D53" s="19" t="str">
        <x:v>Q4</x:v>
      </x:c>
      <x:c r="E53" s="19" t="str">
        <x:v>-</x:v>
      </x:c>
      <x:c r="F53" s="19" t="str">
        <x:v>-</x:v>
      </x:c>
      <x:c r="G53" s="19" t="str">
        <x:v>-</x:v>
      </x:c>
      <x:c r="H53" s="19" t="str">
        <x:v>-</x:v>
      </x:c>
      <x:c r="I53" s="19" t="str">
        <x:v>-</x:v>
      </x:c>
      <x:c r="J53" s="19" t="str">
        <x:v>Поквартальные данные не найдены в открытой ФНС БФО</x:v>
      </x:c>
    </x:row>
    <x:row r="54">
      <x:c r="A54" s="19" t="n">
        <x:v>241</x:v>
      </x:c>
      <x:c r="B54" s="19" t="str">
        <x:v>Диканька</x:v>
      </x:c>
      <x:c r="C54" s="19" t="n">
        <x:v>2024</x:v>
      </x:c>
      <x:c r="D54" s="19" t="str">
        <x:v>Q1</x:v>
      </x:c>
      <x:c r="E54" s="19" t="str">
        <x:v>-</x:v>
      </x:c>
      <x:c r="F54" s="19" t="str">
        <x:v>-</x:v>
      </x:c>
      <x:c r="G54" s="19" t="str">
        <x:v>-</x:v>
      </x:c>
      <x:c r="H54" s="19" t="str">
        <x:v>-</x:v>
      </x:c>
      <x:c r="I54" s="19" t="str">
        <x:v>-</x:v>
      </x:c>
      <x:c r="J54" s="19" t="str">
        <x:v>Поквартальные данные не найдены в открытой ФНС БФО</x:v>
      </x:c>
    </x:row>
    <x:row r="55">
      <x:c r="A55" s="19" t="n">
        <x:v>241</x:v>
      </x:c>
      <x:c r="B55" s="19" t="str">
        <x:v>Диканька</x:v>
      </x:c>
      <x:c r="C55" s="19" t="n">
        <x:v>2024</x:v>
      </x:c>
      <x:c r="D55" s="19" t="str">
        <x:v>Q2</x:v>
      </x:c>
      <x:c r="E55" s="19" t="str">
        <x:v>-</x:v>
      </x:c>
      <x:c r="F55" s="19" t="str">
        <x:v>-</x:v>
      </x:c>
      <x:c r="G55" s="19" t="str">
        <x:v>-</x:v>
      </x:c>
      <x:c r="H55" s="19" t="str">
        <x:v>-</x:v>
      </x:c>
      <x:c r="I55" s="19" t="str">
        <x:v>-</x:v>
      </x:c>
      <x:c r="J55" s="19" t="str">
        <x:v>Поквартальные данные не найдены в открытой ФНС БФО</x:v>
      </x:c>
    </x:row>
    <x:row r="56">
      <x:c r="A56" s="19" t="n">
        <x:v>241</x:v>
      </x:c>
      <x:c r="B56" s="19" t="str">
        <x:v>Диканька</x:v>
      </x:c>
      <x:c r="C56" s="19" t="n">
        <x:v>2024</x:v>
      </x:c>
      <x:c r="D56" s="19" t="str">
        <x:v>Q3</x:v>
      </x:c>
      <x:c r="E56" s="19" t="str">
        <x:v>-</x:v>
      </x:c>
      <x:c r="F56" s="19" t="str">
        <x:v>-</x:v>
      </x:c>
      <x:c r="G56" s="19" t="str">
        <x:v>-</x:v>
      </x:c>
      <x:c r="H56" s="19" t="str">
        <x:v>-</x:v>
      </x:c>
      <x:c r="I56" s="19" t="str">
        <x:v>-</x:v>
      </x:c>
      <x:c r="J56" s="19" t="str">
        <x:v>Поквартальные данные не найдены в открытой ФНС БФО</x:v>
      </x:c>
    </x:row>
    <x:row r="57">
      <x:c r="A57" s="19" t="n">
        <x:v>241</x:v>
      </x:c>
      <x:c r="B57" s="19" t="str">
        <x:v>Диканька</x:v>
      </x:c>
      <x:c r="C57" s="19" t="n">
        <x:v>2024</x:v>
      </x:c>
      <x:c r="D57" s="19" t="str">
        <x:v>Q4</x:v>
      </x:c>
      <x:c r="E57" s="19" t="str">
        <x:v>-</x:v>
      </x:c>
      <x:c r="F57" s="19" t="str">
        <x:v>-</x:v>
      </x:c>
      <x:c r="G57" s="19" t="str">
        <x:v>-</x:v>
      </x:c>
      <x:c r="H57" s="19" t="str">
        <x:v>-</x:v>
      </x:c>
      <x:c r="I57" s="19" t="str">
        <x:v>-</x:v>
      </x:c>
      <x:c r="J57" s="19" t="str">
        <x:v>Поквартальные данные не найдены в открытой ФНС БФО</x:v>
      </x:c>
    </x:row>
    <x:row r="58">
      <x:c r="A58" s="19" t="n">
        <x:v>241</x:v>
      </x:c>
      <x:c r="B58" s="19" t="str">
        <x:v>Диканька</x:v>
      </x:c>
      <x:c r="C58" s="19" t="n">
        <x:v>2025</x:v>
      </x:c>
      <x:c r="D58" s="19" t="str">
        <x:v>Q1</x:v>
      </x:c>
      <x:c r="E58" s="19" t="str">
        <x:v>-</x:v>
      </x:c>
      <x:c r="F58" s="19" t="str">
        <x:v>-</x:v>
      </x:c>
      <x:c r="G58" s="19" t="str">
        <x:v>-</x:v>
      </x:c>
      <x:c r="H58" s="19" t="str">
        <x:v>-</x:v>
      </x:c>
      <x:c r="I58" s="19" t="str">
        <x:v>-</x:v>
      </x:c>
      <x:c r="J58" s="19" t="str">
        <x:v>Поквартальные данные не найдены в открытой ФНС БФО</x:v>
      </x:c>
    </x:row>
    <x:row r="59">
      <x:c r="A59" s="19" t="n">
        <x:v>241</x:v>
      </x:c>
      <x:c r="B59" s="19" t="str">
        <x:v>Диканька</x:v>
      </x:c>
      <x:c r="C59" s="19" t="n">
        <x:v>2025</x:v>
      </x:c>
      <x:c r="D59" s="19" t="str">
        <x:v>Q2</x:v>
      </x:c>
      <x:c r="E59" s="19" t="str">
        <x:v>-</x:v>
      </x:c>
      <x:c r="F59" s="19" t="str">
        <x:v>-</x:v>
      </x:c>
      <x:c r="G59" s="19" t="str">
        <x:v>-</x:v>
      </x:c>
      <x:c r="H59" s="19" t="str">
        <x:v>-</x:v>
      </x:c>
      <x:c r="I59" s="19" t="str">
        <x:v>-</x:v>
      </x:c>
      <x:c r="J59" s="19" t="str">
        <x:v>Поквартальные данные не найдены в открытой ФНС БФО</x:v>
      </x:c>
    </x:row>
    <x:row r="60">
      <x:c r="A60" s="19" t="n">
        <x:v>241</x:v>
      </x:c>
      <x:c r="B60" s="19" t="str">
        <x:v>Диканька</x:v>
      </x:c>
      <x:c r="C60" s="19" t="n">
        <x:v>2025</x:v>
      </x:c>
      <x:c r="D60" s="19" t="str">
        <x:v>Q3</x:v>
      </x:c>
      <x:c r="E60" s="19" t="str">
        <x:v>-</x:v>
      </x:c>
      <x:c r="F60" s="19" t="str">
        <x:v>-</x:v>
      </x:c>
      <x:c r="G60" s="19" t="str">
        <x:v>-</x:v>
      </x:c>
      <x:c r="H60" s="19" t="str">
        <x:v>-</x:v>
      </x:c>
      <x:c r="I60" s="19" t="str">
        <x:v>-</x:v>
      </x:c>
      <x:c r="J60" s="19" t="str">
        <x:v>Поквартальные данные не найдены в открытой ФНС БФО</x:v>
      </x:c>
    </x:row>
    <x:row r="61">
      <x:c r="A61" s="19" t="n">
        <x:v>241</x:v>
      </x:c>
      <x:c r="B61" s="19" t="str">
        <x:v>Диканька</x:v>
      </x:c>
      <x:c r="C61" s="19" t="n">
        <x:v>2025</x:v>
      </x:c>
      <x:c r="D61" s="19" t="str">
        <x:v>Q4</x:v>
      </x:c>
      <x:c r="E61" s="19" t="str">
        <x:v>-</x:v>
      </x:c>
      <x:c r="F61" s="19" t="str">
        <x:v>-</x:v>
      </x:c>
      <x:c r="G61" s="19" t="str">
        <x:v>-</x:v>
      </x:c>
      <x:c r="H61" s="19" t="str">
        <x:v>-</x:v>
      </x:c>
      <x:c r="I61" s="19" t="str">
        <x:v>-</x:v>
      </x:c>
      <x:c r="J61" s="19" t="str">
        <x:v>Поквартальные данные не найдены в открытой ФНС БФО</x:v>
      </x:c>
    </x:row>
    <x:row r="62">
      <x:c r="A62" s="19" t="n">
        <x:v>246</x:v>
      </x:c>
      <x:c r="B62" s="19" t="str">
        <x:v>Чик Чак</x:v>
      </x:c>
      <x:c r="C62" s="19" t="n">
        <x:v>2023</x:v>
      </x:c>
      <x:c r="D62" s="19" t="str">
        <x:v>Q1</x:v>
      </x:c>
      <x:c r="E62" s="19" t="str">
        <x:v>-</x:v>
      </x:c>
      <x:c r="F62" s="19" t="str">
        <x:v>-</x:v>
      </x:c>
      <x:c r="G62" s="19" t="str">
        <x:v>-</x:v>
      </x:c>
      <x:c r="H62" s="19" t="str">
        <x:v>-</x:v>
      </x:c>
      <x:c r="I62" s="19" t="str">
        <x:v>-</x:v>
      </x:c>
      <x:c r="J62" s="19" t="str">
        <x:v>Поквартальные данные не найдены в открытой ФНС БФО</x:v>
      </x:c>
    </x:row>
    <x:row r="63">
      <x:c r="A63" s="19" t="n">
        <x:v>246</x:v>
      </x:c>
      <x:c r="B63" s="19" t="str">
        <x:v>Чик Чак</x:v>
      </x:c>
      <x:c r="C63" s="19" t="n">
        <x:v>2023</x:v>
      </x:c>
      <x:c r="D63" s="19" t="str">
        <x:v>Q2</x:v>
      </x:c>
      <x:c r="E63" s="19" t="str">
        <x:v>-</x:v>
      </x:c>
      <x:c r="F63" s="19" t="str">
        <x:v>-</x:v>
      </x:c>
      <x:c r="G63" s="19" t="str">
        <x:v>-</x:v>
      </x:c>
      <x:c r="H63" s="19" t="str">
        <x:v>-</x:v>
      </x:c>
      <x:c r="I63" s="19" t="str">
        <x:v>-</x:v>
      </x:c>
      <x:c r="J63" s="19" t="str">
        <x:v>Поквартальные данные не найдены в открытой ФНС БФО</x:v>
      </x:c>
    </x:row>
    <x:row r="64">
      <x:c r="A64" s="19" t="n">
        <x:v>246</x:v>
      </x:c>
      <x:c r="B64" s="19" t="str">
        <x:v>Чик Чак</x:v>
      </x:c>
      <x:c r="C64" s="19" t="n">
        <x:v>2023</x:v>
      </x:c>
      <x:c r="D64" s="19" t="str">
        <x:v>Q3</x:v>
      </x:c>
      <x:c r="E64" s="19" t="str">
        <x:v>-</x:v>
      </x:c>
      <x:c r="F64" s="19" t="str">
        <x:v>-</x:v>
      </x:c>
      <x:c r="G64" s="19" t="str">
        <x:v>-</x:v>
      </x:c>
      <x:c r="H64" s="19" t="str">
        <x:v>-</x:v>
      </x:c>
      <x:c r="I64" s="19" t="str">
        <x:v>-</x:v>
      </x:c>
      <x:c r="J64" s="19" t="str">
        <x:v>Поквартальные данные не найдены в открытой ФНС БФО</x:v>
      </x:c>
    </x:row>
    <x:row r="65">
      <x:c r="A65" s="19" t="n">
        <x:v>246</x:v>
      </x:c>
      <x:c r="B65" s="19" t="str">
        <x:v>Чик Чак</x:v>
      </x:c>
      <x:c r="C65" s="19" t="n">
        <x:v>2023</x:v>
      </x:c>
      <x:c r="D65" s="19" t="str">
        <x:v>Q4</x:v>
      </x:c>
      <x:c r="E65" s="19" t="str">
        <x:v>-</x:v>
      </x:c>
      <x:c r="F65" s="19" t="str">
        <x:v>-</x:v>
      </x:c>
      <x:c r="G65" s="19" t="str">
        <x:v>-</x:v>
      </x:c>
      <x:c r="H65" s="19" t="str">
        <x:v>-</x:v>
      </x:c>
      <x:c r="I65" s="19" t="str">
        <x:v>-</x:v>
      </x:c>
      <x:c r="J65" s="19" t="str">
        <x:v>Поквартальные данные не найдены в открытой ФНС БФО</x:v>
      </x:c>
    </x:row>
    <x:row r="66">
      <x:c r="A66" s="19" t="n">
        <x:v>246</x:v>
      </x:c>
      <x:c r="B66" s="19" t="str">
        <x:v>Чик Чак</x:v>
      </x:c>
      <x:c r="C66" s="19" t="n">
        <x:v>2024</x:v>
      </x:c>
      <x:c r="D66" s="19" t="str">
        <x:v>Q1</x:v>
      </x:c>
      <x:c r="E66" s="19" t="str">
        <x:v>-</x:v>
      </x:c>
      <x:c r="F66" s="19" t="str">
        <x:v>-</x:v>
      </x:c>
      <x:c r="G66" s="19" t="str">
        <x:v>-</x:v>
      </x:c>
      <x:c r="H66" s="19" t="str">
        <x:v>-</x:v>
      </x:c>
      <x:c r="I66" s="19" t="str">
        <x:v>-</x:v>
      </x:c>
      <x:c r="J66" s="19" t="str">
        <x:v>Поквартальные данные не найдены в открытой ФНС БФО</x:v>
      </x:c>
    </x:row>
    <x:row r="67">
      <x:c r="A67" s="19" t="n">
        <x:v>246</x:v>
      </x:c>
      <x:c r="B67" s="19" t="str">
        <x:v>Чик Чак</x:v>
      </x:c>
      <x:c r="C67" s="19" t="n">
        <x:v>2024</x:v>
      </x:c>
      <x:c r="D67" s="19" t="str">
        <x:v>Q2</x:v>
      </x:c>
      <x:c r="E67" s="19" t="str">
        <x:v>-</x:v>
      </x:c>
      <x:c r="F67" s="19" t="str">
        <x:v>-</x:v>
      </x:c>
      <x:c r="G67" s="19" t="str">
        <x:v>-</x:v>
      </x:c>
      <x:c r="H67" s="19" t="str">
        <x:v>-</x:v>
      </x:c>
      <x:c r="I67" s="19" t="str">
        <x:v>-</x:v>
      </x:c>
      <x:c r="J67" s="19" t="str">
        <x:v>Поквартальные данные не найдены в открытой ФНС БФО</x:v>
      </x:c>
    </x:row>
    <x:row r="68">
      <x:c r="A68" s="19" t="n">
        <x:v>246</x:v>
      </x:c>
      <x:c r="B68" s="19" t="str">
        <x:v>Чик Чак</x:v>
      </x:c>
      <x:c r="C68" s="19" t="n">
        <x:v>2024</x:v>
      </x:c>
      <x:c r="D68" s="19" t="str">
        <x:v>Q3</x:v>
      </x:c>
      <x:c r="E68" s="19" t="str">
        <x:v>-</x:v>
      </x:c>
      <x:c r="F68" s="19" t="str">
        <x:v>-</x:v>
      </x:c>
      <x:c r="G68" s="19" t="str">
        <x:v>-</x:v>
      </x:c>
      <x:c r="H68" s="19" t="str">
        <x:v>-</x:v>
      </x:c>
      <x:c r="I68" s="19" t="str">
        <x:v>-</x:v>
      </x:c>
      <x:c r="J68" s="19" t="str">
        <x:v>Поквартальные данные не найдены в открытой ФНС БФО</x:v>
      </x:c>
    </x:row>
    <x:row r="69">
      <x:c r="A69" s="19" t="n">
        <x:v>246</x:v>
      </x:c>
      <x:c r="B69" s="19" t="str">
        <x:v>Чик Чак</x:v>
      </x:c>
      <x:c r="C69" s="19" t="n">
        <x:v>2024</x:v>
      </x:c>
      <x:c r="D69" s="19" t="str">
        <x:v>Q4</x:v>
      </x:c>
      <x:c r="E69" s="19" t="str">
        <x:v>-</x:v>
      </x:c>
      <x:c r="F69" s="19" t="str">
        <x:v>-</x:v>
      </x:c>
      <x:c r="G69" s="19" t="str">
        <x:v>-</x:v>
      </x:c>
      <x:c r="H69" s="19" t="str">
        <x:v>-</x:v>
      </x:c>
      <x:c r="I69" s="19" t="str">
        <x:v>-</x:v>
      </x:c>
      <x:c r="J69" s="19" t="str">
        <x:v>Поквартальные данные не найдены в открытой ФНС БФО</x:v>
      </x:c>
    </x:row>
    <x:row r="70">
      <x:c r="A70" s="19" t="n">
        <x:v>246</x:v>
      </x:c>
      <x:c r="B70" s="19" t="str">
        <x:v>Чик Чак</x:v>
      </x:c>
      <x:c r="C70" s="19" t="n">
        <x:v>2025</x:v>
      </x:c>
      <x:c r="D70" s="19" t="str">
        <x:v>Q1</x:v>
      </x:c>
      <x:c r="E70" s="19" t="str">
        <x:v>-</x:v>
      </x:c>
      <x:c r="F70" s="19" t="str">
        <x:v>-</x:v>
      </x:c>
      <x:c r="G70" s="19" t="str">
        <x:v>-</x:v>
      </x:c>
      <x:c r="H70" s="19" t="str">
        <x:v>-</x:v>
      </x:c>
      <x:c r="I70" s="19" t="str">
        <x:v>-</x:v>
      </x:c>
      <x:c r="J70" s="19" t="str">
        <x:v>Поквартальные данные не найдены в открытой ФНС БФО</x:v>
      </x:c>
    </x:row>
    <x:row r="71">
      <x:c r="A71" s="19" t="n">
        <x:v>246</x:v>
      </x:c>
      <x:c r="B71" s="19" t="str">
        <x:v>Чик Чак</x:v>
      </x:c>
      <x:c r="C71" s="19" t="n">
        <x:v>2025</x:v>
      </x:c>
      <x:c r="D71" s="19" t="str">
        <x:v>Q2</x:v>
      </x:c>
      <x:c r="E71" s="19" t="str">
        <x:v>-</x:v>
      </x:c>
      <x:c r="F71" s="19" t="str">
        <x:v>-</x:v>
      </x:c>
      <x:c r="G71" s="19" t="str">
        <x:v>-</x:v>
      </x:c>
      <x:c r="H71" s="19" t="str">
        <x:v>-</x:v>
      </x:c>
      <x:c r="I71" s="19" t="str">
        <x:v>-</x:v>
      </x:c>
      <x:c r="J71" s="19" t="str">
        <x:v>Поквартальные данные не найдены в открытой ФНС БФО</x:v>
      </x:c>
    </x:row>
    <x:row r="72">
      <x:c r="A72" s="19" t="n">
        <x:v>246</x:v>
      </x:c>
      <x:c r="B72" s="19" t="str">
        <x:v>Чик Чак</x:v>
      </x:c>
      <x:c r="C72" s="19" t="n">
        <x:v>2025</x:v>
      </x:c>
      <x:c r="D72" s="19" t="str">
        <x:v>Q3</x:v>
      </x:c>
      <x:c r="E72" s="19" t="str">
        <x:v>-</x:v>
      </x:c>
      <x:c r="F72" s="19" t="str">
        <x:v>-</x:v>
      </x:c>
      <x:c r="G72" s="19" t="str">
        <x:v>-</x:v>
      </x:c>
      <x:c r="H72" s="19" t="str">
        <x:v>-</x:v>
      </x:c>
      <x:c r="I72" s="19" t="str">
        <x:v>-</x:v>
      </x:c>
      <x:c r="J72" s="19" t="str">
        <x:v>Поквартальные данные не найдены в открытой ФНС БФО</x:v>
      </x:c>
    </x:row>
    <x:row r="73">
      <x:c r="A73" s="19" t="n">
        <x:v>246</x:v>
      </x:c>
      <x:c r="B73" s="19" t="str">
        <x:v>Чик Чак</x:v>
      </x:c>
      <x:c r="C73" s="19" t="n">
        <x:v>2025</x:v>
      </x:c>
      <x:c r="D73" s="19" t="str">
        <x:v>Q4</x:v>
      </x:c>
      <x:c r="E73" s="19" t="str">
        <x:v>-</x:v>
      </x:c>
      <x:c r="F73" s="19" t="str">
        <x:v>-</x:v>
      </x:c>
      <x:c r="G73" s="19" t="str">
        <x:v>-</x:v>
      </x:c>
      <x:c r="H73" s="19" t="str">
        <x:v>-</x:v>
      </x:c>
      <x:c r="I73" s="19" t="str">
        <x:v>-</x:v>
      </x:c>
      <x:c r="J73" s="19" t="str">
        <x:v>Поквартальные данные не найдены в открытой ФНС БФО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16.2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</x:cols>
  <x:sheetData>
    <x:row r="1">
      <x:c r="A1" s="16" t="str">
        <x:v>Графики по топ-6</x:v>
      </x:c>
      <x:c r="B1" s="16"/>
      <x:c r="C1" s="16"/>
      <x:c r="D1" s="16"/>
      <x:c r="E1" s="16"/>
      <x:c r="F1" s="16"/>
      <x:c r="G1" s="16"/>
    </x:row>
    <x:row r="2">
      <x:c r="A2" s="17" t="str">
        <x:v>Финансовые значения указаны в тыс. руб.; квартальные данные не раскрыты, поэтому графики построены по годам.</x:v>
      </x:c>
      <x:c r="B2" s="17"/>
      <x:c r="C2" s="17"/>
      <x:c r="D2" s="17"/>
      <x:c r="E2" s="17"/>
      <x:c r="F2" s="17"/>
      <x:c r="G2" s="17"/>
    </x:row>
    <x:row r="4">
      <x:c r="A4" s="16" t="str">
        <x:v>Выручка</x:v>
      </x:c>
      <x:c r="B4" s="16"/>
      <x:c r="C4" s="16"/>
      <x:c r="D4" s="16"/>
      <x:c r="E4" s="16"/>
      <x:c r="F4" s="16"/>
      <x:c r="G4" s="16"/>
    </x:row>
    <x:row r="5">
      <x:c r="A5" s="36" t="str">
        <x:v>Год</x:v>
      </x:c>
      <x:c r="B5" s="36" t="str">
        <x:v>187 Вкусно — и точка</x:v>
      </x:c>
      <x:c r="C5" s="36" t="str">
        <x:v>223 Rostic's</x:v>
      </x:c>
      <x:c r="D5" s="36" t="str">
        <x:v>188 Дар Пицца</x:v>
      </x:c>
      <x:c r="E5" s="36" t="str">
        <x:v>217 Баблс</x:v>
      </x:c>
      <x:c r="F5" s="36" t="str">
        <x:v>241 Диканька</x:v>
      </x:c>
      <x:c r="G5" s="36" t="str">
        <x:v>246 Чик Чак</x:v>
      </x:c>
    </x:row>
    <x:row r="6">
      <x:c r="A6" t="n">
        <x:v>2023</x:v>
      </x:c>
      <x:c r="B6" s="11" t="n">
        <x:v>155745210</x:v>
      </x:c>
      <x:c r="C6" s="11" t="n">
        <x:v>20168953</x:v>
      </x:c>
      <x:c r="D6" s="11"/>
      <x:c r="E6" s="11" t="n">
        <x:v>4663</x:v>
      </x:c>
      <x:c r="F6" s="11" t="n">
        <x:v>126094</x:v>
      </x:c>
      <x:c r="G6" s="11" t="n">
        <x:v>107076</x:v>
      </x:c>
    </x:row>
    <x:row r="7">
      <x:c r="A7" t="n">
        <x:v>2024</x:v>
      </x:c>
      <x:c r="B7" s="11" t="n">
        <x:v>187357965</x:v>
      </x:c>
      <x:c r="C7" s="11" t="n">
        <x:v>25930672</x:v>
      </x:c>
      <x:c r="D7" s="11" t="n">
        <x:v>106727</x:v>
      </x:c>
      <x:c r="E7" s="11"/>
      <x:c r="F7" s="11" t="n">
        <x:v>164603</x:v>
      </x:c>
      <x:c r="G7" s="11" t="n">
        <x:v>126884</x:v>
      </x:c>
    </x:row>
    <x:row r="8">
      <x:c r="A8" t="n">
        <x:v>2025</x:v>
      </x:c>
      <x:c r="B8" s="11" t="n">
        <x:v>218572895</x:v>
      </x:c>
      <x:c r="C8" s="11" t="n">
        <x:v>30813210</x:v>
      </x:c>
      <x:c r="D8" s="11" t="n">
        <x:v>209579</x:v>
      </x:c>
      <x:c r="E8" s="11"/>
      <x:c r="F8" s="11" t="n">
        <x:v>144505</x:v>
      </x:c>
      <x:c r="G8" s="11" t="n">
        <x:v>149153</x:v>
      </x:c>
    </x:row>
    <x:row r="23">
      <x:c r="A23" s="16" t="str">
        <x:v>Валовая прибыль</x:v>
      </x:c>
      <x:c r="B23" s="16"/>
      <x:c r="C23" s="16"/>
      <x:c r="D23" s="16"/>
      <x:c r="E23" s="16"/>
      <x:c r="F23" s="16"/>
      <x:c r="G23" s="16"/>
    </x:row>
    <x:row r="24">
      <x:c r="A24" s="36" t="str">
        <x:v>Год</x:v>
      </x:c>
      <x:c r="B24" s="36" t="str">
        <x:v>187 Вкусно — и точка</x:v>
      </x:c>
      <x:c r="C24" s="36" t="str">
        <x:v>223 Rostic's</x:v>
      </x:c>
      <x:c r="D24" s="36" t="str">
        <x:v>188 Дар Пицца</x:v>
      </x:c>
      <x:c r="E24" s="36" t="str">
        <x:v>217 Баблс</x:v>
      </x:c>
      <x:c r="F24" s="36" t="str">
        <x:v>241 Диканька</x:v>
      </x:c>
      <x:c r="G24" s="36" t="str">
        <x:v>246 Чик Чак</x:v>
      </x:c>
    </x:row>
    <x:row r="25">
      <x:c r="A25" t="n">
        <x:v>2023</x:v>
      </x:c>
      <x:c r="B25" s="11" t="n">
        <x:v>27475435</x:v>
      </x:c>
      <x:c r="C25" s="11" t="n">
        <x:v>14955521</x:v>
      </x:c>
      <x:c r="D25" s="11"/>
      <x:c r="E25" s="11"/>
      <x:c r="F25" s="11"/>
      <x:c r="G25" s="11"/>
    </x:row>
    <x:row r="26">
      <x:c r="A26" t="n">
        <x:v>2024</x:v>
      </x:c>
      <x:c r="B26" s="11" t="n">
        <x:v>35440526</x:v>
      </x:c>
      <x:c r="C26" s="11" t="n">
        <x:v>20142693</x:v>
      </x:c>
      <x:c r="D26" s="11"/>
      <x:c r="E26" s="11"/>
      <x:c r="F26" s="11"/>
      <x:c r="G26" s="11"/>
    </x:row>
    <x:row r="27">
      <x:c r="A27" t="n">
        <x:v>2025</x:v>
      </x:c>
      <x:c r="B27" s="11" t="n">
        <x:v>37855764</x:v>
      </x:c>
      <x:c r="C27" s="11" t="n">
        <x:v>24240245</x:v>
      </x:c>
      <x:c r="D27" s="11"/>
      <x:c r="E27" s="11"/>
      <x:c r="F27" s="11"/>
      <x:c r="G27" s="11"/>
    </x:row>
    <x:row r="42">
      <x:c r="A42" s="16" t="str">
        <x:v>Чистый финансовый результат</x:v>
      </x:c>
      <x:c r="B42" s="16"/>
      <x:c r="C42" s="16"/>
      <x:c r="D42" s="16"/>
      <x:c r="E42" s="16"/>
      <x:c r="F42" s="16"/>
      <x:c r="G42" s="16"/>
    </x:row>
    <x:row r="43">
      <x:c r="A43" s="36" t="str">
        <x:v>Год</x:v>
      </x:c>
      <x:c r="B43" s="36" t="str">
        <x:v>187 Вкусно — и точка</x:v>
      </x:c>
      <x:c r="C43" s="36" t="str">
        <x:v>223 Rostic's</x:v>
      </x:c>
      <x:c r="D43" s="36" t="str">
        <x:v>188 Дар Пицца</x:v>
      </x:c>
      <x:c r="E43" s="36" t="str">
        <x:v>217 Баблс</x:v>
      </x:c>
      <x:c r="F43" s="36" t="str">
        <x:v>241 Диканька</x:v>
      </x:c>
      <x:c r="G43" s="36" t="str">
        <x:v>246 Чик Чак</x:v>
      </x:c>
    </x:row>
    <x:row r="44">
      <x:c r="A44" t="n">
        <x:v>2023</x:v>
      </x:c>
      <x:c r="B44" s="11" t="n">
        <x:v>14174325</x:v>
      </x:c>
      <x:c r="C44" s="11" t="n">
        <x:v>3539841</x:v>
      </x:c>
      <x:c r="D44" s="11"/>
      <x:c r="E44" s="11" t="n">
        <x:v>82</x:v>
      </x:c>
      <x:c r="F44" s="11" t="n">
        <x:v>2204</x:v>
      </x:c>
      <x:c r="G44" s="11" t="n">
        <x:v>333</x:v>
      </x:c>
    </x:row>
    <x:row r="45">
      <x:c r="A45" t="n">
        <x:v>2024</x:v>
      </x:c>
      <x:c r="B45" s="11" t="n">
        <x:v>16959735</x:v>
      </x:c>
      <x:c r="C45" s="11" t="n">
        <x:v>5678938</x:v>
      </x:c>
      <x:c r="D45" s="11" t="n">
        <x:v>485</x:v>
      </x:c>
      <x:c r="E45" s="11"/>
      <x:c r="F45" s="11" t="n">
        <x:v>270</x:v>
      </x:c>
      <x:c r="G45" s="11" t="n">
        <x:v>-5074</x:v>
      </x:c>
    </x:row>
    <x:row r="46">
      <x:c r="A46" t="n">
        <x:v>2025</x:v>
      </x:c>
      <x:c r="B46" s="11" t="n">
        <x:v>14405355</x:v>
      </x:c>
      <x:c r="C46" s="11" t="n">
        <x:v>4115411</x:v>
      </x:c>
      <x:c r="D46" s="11" t="n">
        <x:v>116</x:v>
      </x:c>
      <x:c r="E46" s="11"/>
      <x:c r="F46" s="11" t="n">
        <x:v>-3220</x:v>
      </x:c>
      <x:c r="G46" s="11" t="n">
        <x:v>-1659</x:v>
      </x:c>
    </x:row>
    <x:row r="61">
      <x:c r="A61" s="16" t="str">
        <x:v>Показатель эффективности</x:v>
      </x:c>
      <x:c r="B61" s="16"/>
    </x:row>
    <x:row r="62">
      <x:c r="A62" s="41" t="str">
        <x:v>Запись</x:v>
      </x:c>
      <x:c r="B62" s="41" t="str">
        <x:v>Эффективность, %</x:v>
      </x:c>
    </x:row>
    <x:row r="63">
      <x:c r="A63" t="str">
        <x:v>187 Вкусно — и точка</x:v>
      </x:c>
      <x:c r="B63" s="10" t="n">
        <x:v>100</x:v>
      </x:c>
    </x:row>
    <x:row r="64">
      <x:c r="A64" t="str">
        <x:v>223 Rostic's</x:v>
      </x:c>
      <x:c r="B64" s="10" t="n">
        <x:v>100</x:v>
      </x:c>
    </x:row>
    <x:row r="65">
      <x:c r="A65" t="str">
        <x:v>188 Дар Пицца</x:v>
      </x:c>
      <x:c r="B65" s="10" t="n">
        <x:v>100</x:v>
      </x:c>
    </x:row>
    <x:row r="66">
      <x:c r="A66" t="str">
        <x:v>217 Баблс</x:v>
      </x:c>
      <x:c r="B66" s="10" t="n">
        <x:v>100</x:v>
      </x:c>
    </x:row>
    <x:row r="67">
      <x:c r="A67" t="str">
        <x:v>241 Диканька</x:v>
      </x:c>
      <x:c r="B67" s="10" t="n">
        <x:v>-30.1535974130962</x:v>
      </x:c>
    </x:row>
    <x:row r="68">
      <x:c r="A68" t="str">
        <x:v>246 Чик Чак</x:v>
      </x:c>
      <x:c r="B68" s="10" t="n">
        <x:v>-1921.921921921922</x:v>
      </x:c>
    </x:row>
  </x:sheetData>
  <x:mergeCells>
    <x:mergeCell ref="A1:G1"/>
    <x:mergeCell ref="A2:G2"/>
    <x:mergeCell ref="A4:G4"/>
    <x:mergeCell ref="A23:G23"/>
    <x:mergeCell ref="A42:G42"/>
    <x:mergeCell ref="A61:B61"/>
  </x:mergeCells>
  <x:pageMargins left="0.7" right="0.7" top="0.75" bottom="0.75" header="0.3" footer="0.3"/>
  <x:drawing xmlns:r="http://schemas.openxmlformats.org/officeDocument/2006/relationships" r:id="Rfc261b4aec064df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37.5" hidden="0" customWidth="1"/>
    <x:col min="4" max="4" width="9.380000114440918" hidden="0" customWidth="1"/>
    <x:col min="5" max="5" width="52.5" hidden="0" customWidth="1"/>
    <x:col min="6" max="6" width="52.5" hidden="0" customWidth="1"/>
  </x:cols>
  <x:sheetData>
    <x:row r="1">
      <x:c r="A1" s="18" t="str">
        <x:v>Источник</x:v>
      </x:c>
      <x:c r="B1" s="18" t="str">
        <x:v>ИНН</x:v>
      </x:c>
      <x:c r="C1" s="18" t="str">
        <x:v>Юрлицо</x:v>
      </x:c>
      <x:c r="D1" s="18" t="str">
        <x:v>ID ФНС</x:v>
      </x:c>
      <x:c r="E1" s="18" t="str">
        <x:v>URL</x:v>
      </x:c>
      <x:c r="F1" s="18" t="str">
        <x:v>Примечания</x:v>
      </x:c>
    </x:row>
    <x:row r="2">
      <x:c r="A2" s="19" t="str">
        <x:v>ФНС России, ресурс БФО</x:v>
      </x:c>
      <x:c r="B2" s="19" t="str">
        <x:v>2204088208</x:v>
      </x:c>
      <x:c r="C2" s="19" t="str">
        <x:v>ООО "КОФЕ-ФЕ"</x:v>
      </x:c>
      <x:c r="D2" s="19"/>
      <x:c r="E2" s="19" t="str">
        <x:v>https://bo.nalog.gov.ru/organizations-card/2204088208</x:v>
      </x:c>
      <x:c r="F2" s="19" t="str">
        <x:v>Годовая бухгалтерская отчетность; показатели формы 2: 2110, 2100, 2400.</x:v>
      </x:c>
    </x:row>
    <x:row r="3">
      <x:c r="A3" s="19" t="str">
        <x:v>ФНС России, ресурс БФО</x:v>
      </x:c>
      <x:c r="B3" s="19" t="str">
        <x:v>7710044140</x:v>
      </x:c>
      <x:c r="C3" s="19" t="str">
        <x:v>ООО "СИСТЕМА ПБО"</x:v>
      </x:c>
      <x:c r="D3" s="19"/>
      <x:c r="E3" s="19" t="str">
        <x:v>https://bo.nalog.gov.ru/organizations-card/7710044140</x:v>
      </x:c>
      <x:c r="F3" s="19" t="str">
        <x:v>Годовая бухгалтерская отчетность; показатели формы 2: 2110, 2100, 2400.</x:v>
      </x:c>
    </x:row>
    <x:row r="4">
      <x:c r="A4" s="19" t="str">
        <x:v>ФНС России, ресурс БФО</x:v>
      </x:c>
      <x:c r="B4" s="19" t="str">
        <x:v>2623033142</x:v>
      </x:c>
      <x:c r="C4" s="19" t="str">
        <x:v>ООО "БУРУМ"</x:v>
      </x:c>
      <x:c r="D4" s="19"/>
      <x:c r="E4" s="19" t="str">
        <x:v>https://bo.nalog.gov.ru/organizations-card/2623033142</x:v>
      </x:c>
      <x:c r="F4" s="19" t="str">
        <x:v>Годовая бухгалтерская отчетность; показатели формы 2: 2110, 2100, 2400.</x:v>
      </x:c>
    </x:row>
    <x:row r="5">
      <x:c r="A5" s="19" t="str">
        <x:v>ФНС России, ресурс БФО</x:v>
      </x:c>
      <x:c r="B5" s="19" t="str">
        <x:v>2317077292</x:v>
      </x:c>
      <x:c r="C5" s="19" t="str">
        <x:v>ООО "ЮГА"</x:v>
      </x:c>
      <x:c r="D5" s="19"/>
      <x:c r="E5" s="19" t="str">
        <x:v>https://bo.nalog.gov.ru/organizations-card/2317077292</x:v>
      </x:c>
      <x:c r="F5" s="19" t="str">
        <x:v>Годовая бухгалтерская отчетность; показатели формы 2: 2110, 2100, 2400.</x:v>
      </x:c>
    </x:row>
    <x:row r="6">
      <x:c r="A6" s="19" t="str">
        <x:v>ФНС России, ресурс БФО</x:v>
      </x:c>
      <x:c r="B6" s="19" t="str">
        <x:v>7719723690</x:v>
      </x:c>
      <x:c r="C6" s="19" t="str">
        <x:v>ООО "БУРГЕР РУС"</x:v>
      </x:c>
      <x:c r="D6" s="19"/>
      <x:c r="E6" s="19" t="str">
        <x:v>https://bo.nalog.gov.ru/organizations-card/7719723690</x:v>
      </x:c>
      <x:c r="F6" s="19" t="str">
        <x:v>Годовая бухгалтерская отчетность; показатели формы 2: 2110, 2100, 2400.</x:v>
      </x:c>
    </x:row>
    <x:row r="7">
      <x:c r="A7" s="19" t="str">
        <x:v>ФНС России, ресурс БФО</x:v>
      </x:c>
      <x:c r="B7" s="19" t="str">
        <x:v>7810476672</x:v>
      </x:c>
      <x:c r="C7" s="19" t="str">
        <x:v>ООО "ССК"</x:v>
      </x:c>
      <x:c r="D7" s="19"/>
      <x:c r="E7" s="19" t="str">
        <x:v>https://bo.nalog.gov.ru/organizations-card/7810476672</x:v>
      </x:c>
      <x:c r="F7" s="19" t="str">
        <x:v>Годовая бухгалтерская отчетность; показатели формы 2: 2110, 2100, 2400.</x:v>
      </x:c>
    </x:row>
    <x:row r="8">
      <x:c r="A8" s="19" t="str">
        <x:v>ФНС России, ресурс БФО</x:v>
      </x:c>
      <x:c r="B8" s="19" t="str">
        <x:v>2311356162</x:v>
      </x:c>
      <x:c r="C8" s="19" t="str">
        <x:v>ООО "ПИЦЦА КРАСНОДАР"</x:v>
      </x:c>
      <x:c r="D8" s="19"/>
      <x:c r="E8" s="19" t="str">
        <x:v>https://bo.nalog.gov.ru/organizations-card/2311356162</x:v>
      </x:c>
      <x:c r="F8" s="19" t="str">
        <x:v>Годовая бухгалтерская отчетность; показатели формы 2: 2110, 2100, 2400.</x:v>
      </x:c>
    </x:row>
    <x:row r="9">
      <x:c r="A9" s="19" t="str">
        <x:v>ФНС России, ресурс БФО</x:v>
      </x:c>
      <x:c r="B9" s="19" t="str">
        <x:v>3444210862</x:v>
      </x:c>
      <x:c r="C9" s="19" t="str">
        <x:v>ООО "УПРАВЛЯЮЩАЯ КОМПАНИЯ "СУШИВЕСЛА"</x:v>
      </x:c>
      <x:c r="D9" s="19"/>
      <x:c r="E9" s="19" t="str">
        <x:v>https://bo.nalog.gov.ru/organizations-card/3444210862</x:v>
      </x:c>
      <x:c r="F9" s="19" t="str">
        <x:v>Годовая бухгалтерская отчетность; показатели формы 2: 2110, 2100, 2400.</x:v>
      </x:c>
    </x:row>
    <x:row r="10">
      <x:c r="A10" s="19" t="str">
        <x:v>ФНС России, ресурс БФО</x:v>
      </x:c>
      <x:c r="B10" s="19" t="str">
        <x:v>2312321155</x:v>
      </x:c>
      <x:c r="C10" s="19" t="str">
        <x:v>ООО "ШАШЛЫЧНАЯ"</x:v>
      </x:c>
      <x:c r="D10" s="19"/>
      <x:c r="E10" s="19" t="str">
        <x:v>https://bo.nalog.gov.ru/organizations-card/2312321155</x:v>
      </x:c>
      <x:c r="F10" s="19" t="str">
        <x:v>Годовая бухгалтерская отчетность; показатели формы 2: 2110, 2100, 2400.</x:v>
      </x:c>
    </x:row>
    <x:row r="11">
      <x:c r="A11" s="19" t="str">
        <x:v>ФНС России, ресурс БФО</x:v>
      </x:c>
      <x:c r="B11" s="19" t="str">
        <x:v>7722561551</x:v>
      </x:c>
      <x:c r="C11" s="19" t="str">
        <x:v>ООО "ЮНИРЕСТ"</x:v>
      </x:c>
      <x:c r="D11" s="19"/>
      <x:c r="E11" s="19" t="str">
        <x:v>https://bo.nalog.gov.ru/organizations-card/7722561551</x:v>
      </x:c>
      <x:c r="F11" s="19" t="str">
        <x:v>Годовая бухгалтерская отчетность; показатели формы 2: 2110, 2100, 2400.</x:v>
      </x:c>
    </x:row>
    <x:row r="12">
      <x:c r="A12" s="19" t="str">
        <x:v>ФНС России, ресурс БФО</x:v>
      </x:c>
      <x:c r="B12" s="19" t="str">
        <x:v>4909126110</x:v>
      </x:c>
      <x:c r="C12" s="19" t="str">
        <x:v>ООО "МАЛЕНЬКАЯ АЗИЯ"</x:v>
      </x:c>
      <x:c r="D12" s="19"/>
      <x:c r="E12" s="19" t="str">
        <x:v>https://bo.nalog.gov.ru/organizations-card/4909126110</x:v>
      </x:c>
      <x:c r="F12" s="19" t="str">
        <x:v>Годовая бухгалтерская отчетность; показатели формы 2: 2110, 2100, 2400.</x:v>
      </x:c>
    </x:row>
    <x:row r="13">
      <x:c r="A13" s="19" t="str">
        <x:v>ФНС России, ресурс БФО</x:v>
      </x:c>
      <x:c r="B13" s="19" t="str">
        <x:v>2320250638</x:v>
      </x:c>
      <x:c r="C13" s="19" t="str">
        <x:v>ООО "ДУБАЙ"</x:v>
      </x:c>
      <x:c r="D13" s="19"/>
      <x:c r="E13" s="19" t="str">
        <x:v>https://bo.nalog.gov.ru/organizations-card/2320250638</x:v>
      </x:c>
      <x:c r="F13" s="19" t="str">
        <x:v>Годовая бухгалтерская отчетность; показатели формы 2: 2110, 2100, 2400.</x:v>
      </x:c>
    </x:row>
    <x:row r="14">
      <x:c r="A14" s="19" t="str">
        <x:v>ФНС России, ресурс БФО</x:v>
      </x:c>
      <x:c r="B14" s="19" t="str">
        <x:v>0278981187</x:v>
      </x:c>
      <x:c r="C14" s="19" t="str">
        <x:v>ООО "ИСКУССТВО"</x:v>
      </x:c>
      <x:c r="D14" s="19"/>
      <x:c r="E14" s="19" t="str">
        <x:v>https://bo.nalog.gov.ru/organizations-card/0278981187</x:v>
      </x:c>
      <x:c r="F14" s="19" t="str">
        <x:v>Годовая бухгалтерская отчетность; показатели формы 2: 2110, 2100, 2400.</x:v>
      </x:c>
    </x:row>
    <x:row r="15">
      <x:c r="A15" s="19" t="str">
        <x:v>ФНС России, ресурс БФО</x:v>
      </x:c>
      <x:c r="B15" s="19" t="str">
        <x:v>7717289460</x:v>
      </x:c>
      <x:c r="C15" s="19" t="str">
        <x:v>ООО "ПРОСУШИ М"</x:v>
      </x:c>
      <x:c r="D15" s="19"/>
      <x:c r="E15" s="19" t="str">
        <x:v>https://bo.nalog.gov.ru/organizations-card/7717289460</x:v>
      </x:c>
      <x:c r="F15" s="19" t="str">
        <x:v>Годовая бухгалтерская отчетность; показатели формы 2: 2110, 2100, 2400.</x:v>
      </x:c>
    </x:row>
    <x:row r="16">
      <x:c r="A16" s="19" t="str">
        <x:v>ФНС России, ресурс БФО</x:v>
      </x:c>
      <x:c r="B16" s="19" t="str">
        <x:v>7743052121</x:v>
      </x:c>
      <x:c r="C16" s="19" t="str">
        <x:v>ООО "КОФЕЙКА"</x:v>
      </x:c>
      <x:c r="D16" s="19"/>
      <x:c r="E16" s="19" t="str">
        <x:v>https://bo.nalog.gov.ru/organizations-card/7743052121</x:v>
      </x:c>
      <x:c r="F16" s="19" t="str">
        <x:v>Годовая бухгалтерская отчетность; показатели формы 2: 2110, 2100, 2400.</x:v>
      </x:c>
    </x:row>
    <x:row r="17">
      <x:c r="A17" s="19" t="str">
        <x:v>ФНС России, ресурс БФО</x:v>
      </x:c>
      <x:c r="B17" s="19" t="str">
        <x:v>2721254750</x:v>
      </x:c>
      <x:c r="C17" s="19" t="str">
        <x:v>ООО "БАБЛС"</x:v>
      </x:c>
      <x:c r="D17" s="19"/>
      <x:c r="E17" s="19" t="str">
        <x:v>https://bo.nalog.gov.ru/organizations-card/2721254750</x:v>
      </x:c>
      <x:c r="F17" s="19" t="str">
        <x:v>Годовая бухгалтерская отчетность; показатели формы 2: 2110, 2100, 2400.</x:v>
      </x:c>
    </x:row>
    <x:row r="18">
      <x:c r="A18" s="19" t="str">
        <x:v>ФНС России, ресурс БФО</x:v>
      </x:c>
      <x:c r="B18" s="19" t="str">
        <x:v>7813671262</x:v>
      </x:c>
      <x:c r="C18" s="19" t="str">
        <x:v>ООО "КУХНЯ"</x:v>
      </x:c>
      <x:c r="D18" s="19"/>
      <x:c r="E18" s="19" t="str">
        <x:v>https://bo.nalog.gov.ru/organizations-card/7813671262</x:v>
      </x:c>
      <x:c r="F18" s="19" t="str">
        <x:v>Годовая бухгалтерская отчетность; показатели формы 2: 2110, 2100, 2400.</x:v>
      </x:c>
    </x:row>
    <x:row r="19">
      <x:c r="A19" s="19" t="str">
        <x:v>ФНС России, ресурс БФО</x:v>
      </x:c>
      <x:c r="B19" s="19" t="str">
        <x:v>4345454394</x:v>
      </x:c>
      <x:c r="C19" s="19" t="str">
        <x:v>ООО "СЕЛИ-ПОЕЛИ"</x:v>
      </x:c>
      <x:c r="D19" s="19"/>
      <x:c r="E19" s="19" t="str">
        <x:v>https://bo.nalog.gov.ru/organizations-card/4345454394</x:v>
      </x:c>
      <x:c r="F19" s="19" t="str">
        <x:v>Годовая бухгалтерская отчетность; показатели формы 2: 2110, 2100, 2400.</x:v>
      </x:c>
    </x:row>
    <x:row r="20">
      <x:c r="A20" s="19" t="str">
        <x:v>ФНС России, ресурс БФО</x:v>
      </x:c>
      <x:c r="B20" s="19" t="str">
        <x:v>1657241710</x:v>
      </x:c>
      <x:c r="C20" s="19" t="str">
        <x:v>ООО "БАЗАР"</x:v>
      </x:c>
      <x:c r="D20" s="19"/>
      <x:c r="E20" s="19" t="str">
        <x:v>https://bo.nalog.gov.ru/organizations-card/1657241710</x:v>
      </x:c>
      <x:c r="F20" s="19" t="str">
        <x:v>Годовая бухгалтерская отчетность; показатели формы 2: 2110, 2100, 2400.</x:v>
      </x:c>
    </x:row>
    <x:row r="21">
      <x:c r="A21" s="19" t="str">
        <x:v>ФНС России, ресурс БФО</x:v>
      </x:c>
      <x:c r="B21" s="19" t="str">
        <x:v>7724701466</x:v>
      </x:c>
      <x:c r="C21" s="19" t="str">
        <x:v>ООО "ПИ ДЖЕЙ РЕСТОРАНТС"</x:v>
      </x:c>
      <x:c r="D21" s="19"/>
      <x:c r="E21" s="19" t="str">
        <x:v>https://bo.nalog.gov.ru/organizations-card/7724701466</x:v>
      </x:c>
      <x:c r="F21" s="19" t="str">
        <x:v>Годовая бухгалтерская отчетность; показатели формы 2: 2110, 2100, 2400.</x:v>
      </x:c>
    </x:row>
    <x:row r="22">
      <x:c r="A22" s="19" t="str">
        <x:v>ФНС России, ресурс БФО</x:v>
      </x:c>
      <x:c r="B22" s="19" t="str">
        <x:v>9201517469</x:v>
      </x:c>
      <x:c r="C22" s="19" t="str">
        <x:v>ООО "СТАРИК ХИНКАЛЫЧ"</x:v>
      </x:c>
      <x:c r="D22" s="19"/>
      <x:c r="E22" s="19" t="str">
        <x:v>https://bo.nalog.gov.ru/organizations-card/9201517469</x:v>
      </x:c>
      <x:c r="F22" s="19" t="str">
        <x:v>Годовая бухгалтерская отчетность; показатели формы 2: 2110, 2100, 2400.</x:v>
      </x:c>
    </x:row>
    <x:row r="23">
      <x:c r="A23" s="19" t="str">
        <x:v>ФНС России, ресурс БФО</x:v>
      </x:c>
      <x:c r="B23" s="19" t="str">
        <x:v>2308275139</x:v>
      </x:c>
      <x:c r="C23" s="19" t="str">
        <x:v>ООО "БУМБАРАШ БОЛЬШОЙ"</x:v>
      </x:c>
      <x:c r="D23" s="19"/>
      <x:c r="E23" s="19" t="str">
        <x:v>https://bo.nalog.gov.ru/organizations-card/2308275139</x:v>
      </x:c>
      <x:c r="F23" s="19" t="str">
        <x:v>Годовая бухгалтерская отчетность; показатели формы 2: 2110, 2100, 2400.</x:v>
      </x:c>
    </x:row>
    <x:row r="24">
      <x:c r="A24" s="19" t="str">
        <x:v>ФНС России, ресурс БФО</x:v>
      </x:c>
      <x:c r="B24" s="19" t="str">
        <x:v>7456001807</x:v>
      </x:c>
      <x:c r="C24" s="19" t="str">
        <x:v>ООО "ДИКАНЬКА"</x:v>
      </x:c>
      <x:c r="D24" s="19"/>
      <x:c r="E24" s="19" t="str">
        <x:v>https://bo.nalog.gov.ru/organizations-card/7456001807</x:v>
      </x:c>
      <x:c r="F24" s="19" t="str">
        <x:v>Годовая бухгалтерская отчетность; показатели формы 2: 2110, 2100, 2400.</x:v>
      </x:c>
    </x:row>
    <x:row r="25">
      <x:c r="A25" s="19" t="str">
        <x:v>ФНС России, ресурс БФО</x:v>
      </x:c>
      <x:c r="B25" s="19" t="str">
        <x:v>1655245067</x:v>
      </x:c>
      <x:c r="C25" s="19" t="str">
        <x:v>ООО "ЧАК-ЧАК"</x:v>
      </x:c>
      <x:c r="D25" s="19"/>
      <x:c r="E25" s="19" t="str">
        <x:v>https://bo.nalog.gov.ru/organizations-card/1655245067</x:v>
      </x:c>
      <x:c r="F25" s="19" t="str">
        <x:v>Годовая бухгалтерская отчетность; показатели формы 2: 2110, 2100, 2400.</x:v>
      </x:c>
    </x:row>
    <x:row r="26">
      <x:c r="A26" s="19" t="str">
        <x:v>ФНС России, ресурс БФО</x:v>
      </x:c>
      <x:c r="B26" s="19" t="str">
        <x:v>7813647044</x:v>
      </x:c>
      <x:c r="C26" s="19" t="str">
        <x:v>ООО "ДЖЕНТЛЬМЕНЫ УДАЧИ"</x:v>
      </x:c>
      <x:c r="D26" s="19"/>
      <x:c r="E26" s="19" t="str">
        <x:v>https://bo.nalog.gov.ru/organizations-card/7813647044</x:v>
      </x:c>
      <x:c r="F26" s="19" t="str">
        <x:v>Годовая бухгалтерская отчетность; показатели формы 2: 2110, 2100, 2400.</x:v>
      </x:c>
    </x:row>
    <x:row r="27">
      <x:c r="A27" s="19" t="str">
        <x:v>ФНС России, ресурс БФО</x:v>
      </x:c>
      <x:c r="B27" s="19" t="str">
        <x:v>7702421877</x:v>
      </x:c>
      <x:c r="C27" s="19" t="str">
        <x:v>ООО "МЯСО И РЫБА КАШИРКА"</x:v>
      </x:c>
      <x:c r="D27" s="19"/>
      <x:c r="E27" s="19" t="str">
        <x:v>https://bo.nalog.gov.ru/organizations-card/7702421877</x:v>
      </x:c>
      <x:c r="F27" s="19" t="str">
        <x:v>Годовая бухгалтерская отчетность; показатели формы 2: 2110, 2100, 2400.</x:v>
      </x:c>
    </x:row>
    <x:row r="28">
      <x:c r="A28" s="19" t="str">
        <x:v>ФНС России, ресурс БФО</x:v>
      </x:c>
      <x:c r="B28" s="19" t="str">
        <x:v>2365031146</x:v>
      </x:c>
      <x:c r="C28" s="19" t="str">
        <x:v>ООО ФИРМА "ПЕЧЬ"</x:v>
      </x:c>
      <x:c r="D28" s="19"/>
      <x:c r="E28" s="19" t="str">
        <x:v>https://bo.nalog.gov.ru/organizations-card/2365031146</x:v>
      </x:c>
      <x:c r="F28" s="19" t="str">
        <x:v>Годовая бухгалтерская отчетность; показатели формы 2: 2110, 2100, 2400.</x:v>
      </x:c>
    </x:row>
    <x:row r="29">
      <x:c r="A29" s="19" t="str">
        <x:v>Исходная книга</x:v>
      </x:c>
      <x:c r="B29" s="19" t="str">
        <x:v>-</x:v>
      </x:c>
      <x:c r="C29" s="19" t="str">
        <x:v>DannyePoVykhodOtsenkam.xlsx</x:v>
      </x:c>
      <x:c r="D29" s="19" t="str">
        <x:v>-</x:v>
      </x:c>
      <x:c r="E29" s="19" t="str">
        <x:v>C:/Users/Playerr/Downloads/DannyePoVykhodOtsenkam.xlsx</x:v>
      </x:c>
      <x:c r="F29" s="19" t="str">
        <x:v>Лист "Все Значения", строки 162-250; выбраны топ-40 по отзывам.</x:v>
      </x:c>
    </x:row>
  </x:sheetData>
  <x:pageMargins left="0.7" right="0.7" top="0.75" bottom="0.75" header="0.3" footer="0.3"/>
</x:worksheet>
</file>