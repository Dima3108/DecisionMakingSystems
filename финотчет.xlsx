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тоги" sheetId="1" state="visible" r:id="rId3"/>
    <sheet name="Выбранные 40" sheetId="2" state="visible" r:id="rId4"/>
    <sheet name="Годовые данные" sheetId="3" state="visible" r:id="rId5"/>
    <sheet name="Рейтинг и топ-6" sheetId="4" state="visible" r:id="rId6"/>
    <sheet name="Топ-6 детали" sheetId="5" state="visible" r:id="rId7"/>
    <sheet name="Квартально" sheetId="6" state="visible" r:id="rId8"/>
    <sheet name="Графики" sheetId="7" state="visible" r:id="rId9"/>
    <sheet name="Источники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<sst xmlns="http://schemas.openxmlformats.org/spreadsheetml/2006/main" count="2624" uniqueCount="316">
  <si>
    <t xml:space="preserve">Финансовые показатели выбранных ресторанных записей</t>
  </si>
  <si>
    <t xml:space="preserve">Диапазон: строки 162-250, лист "Все Значения"</t>
  </si>
  <si>
    <t xml:space="preserve">Дата сборки: 2026-06-09</t>
  </si>
  <si>
    <t xml:space="preserve">Показатель</t>
  </si>
  <si>
    <t xml:space="preserve">Значение</t>
  </si>
  <si>
    <t xml:space="preserve">Выбрано записей</t>
  </si>
  <si>
    <t xml:space="preserve">Есть расчет эффективности</t>
  </si>
  <si>
    <t xml:space="preserve">Резервные строки без расчета</t>
  </si>
  <si>
    <t xml:space="preserve">Источник годовой отчетности</t>
  </si>
  <si>
    <t xml:space="preserve">ФНС России, ресурс БФО</t>
  </si>
  <si>
    <t xml:space="preserve">Период</t>
  </si>
  <si>
    <t xml:space="preserve">2023-2025</t>
  </si>
  <si>
    <t xml:space="preserve">Единицы финансовых значений</t>
  </si>
  <si>
    <t xml:space="preserve">тыс. руб.</t>
  </si>
  <si>
    <t xml:space="preserve">Кол-во персонала</t>
  </si>
  <si>
    <t xml:space="preserve">не найдено надежного годового источника; в таблицах указано '-'</t>
  </si>
  <si>
    <t xml:space="preserve">Квартальные данные</t>
  </si>
  <si>
    <t xml:space="preserve">по выбранным непубличным ООО в ФНС БФО не раскрываются</t>
  </si>
  <si>
    <t xml:space="preserve">Группа</t>
  </si>
  <si>
    <t xml:space="preserve">Строка</t>
  </si>
  <si>
    <t xml:space="preserve">Запись</t>
  </si>
  <si>
    <t xml:space="preserve">Юрлицо</t>
  </si>
  <si>
    <t xml:space="preserve">ИНН</t>
  </si>
  <si>
    <t xml:space="preserve">Эффективность, %</t>
  </si>
  <si>
    <t xml:space="preserve">Сумма чистой прибыли</t>
  </si>
  <si>
    <t xml:space="preserve">Сумма чистого убытка</t>
  </si>
  <si>
    <t xml:space="preserve">2 макс</t>
  </si>
  <si>
    <t xml:space="preserve">Вкусно — и точка</t>
  </si>
  <si>
    <t xml:space="preserve">ООО "СИСТЕМА ПБО"</t>
  </si>
  <si>
    <t xml:space="preserve">7710044140</t>
  </si>
  <si>
    <t xml:space="preserve">Rostic's</t>
  </si>
  <si>
    <t xml:space="preserve">ООО "ЮНИРЕСТ"</t>
  </si>
  <si>
    <t xml:space="preserve">7722561551</t>
  </si>
  <si>
    <t xml:space="preserve">2 сред</t>
  </si>
  <si>
    <t xml:space="preserve">Дар Пицца</t>
  </si>
  <si>
    <t xml:space="preserve">ООО "ПИЦЦА КРАСНОДАР"</t>
  </si>
  <si>
    <t xml:space="preserve">2311356162</t>
  </si>
  <si>
    <t xml:space="preserve">Баблс</t>
  </si>
  <si>
    <t xml:space="preserve">ООО "БАБЛС"</t>
  </si>
  <si>
    <t xml:space="preserve">2721254750</t>
  </si>
  <si>
    <t xml:space="preserve">2 мин</t>
  </si>
  <si>
    <t xml:space="preserve">Диканька</t>
  </si>
  <si>
    <t xml:space="preserve">ООО "ДИКАНЬКА"</t>
  </si>
  <si>
    <t xml:space="preserve">7456001807</t>
  </si>
  <si>
    <t xml:space="preserve">Чик Чак</t>
  </si>
  <si>
    <t xml:space="preserve">ООО "ЧАК-ЧАК"</t>
  </si>
  <si>
    <t xml:space="preserve">1655245067</t>
  </si>
  <si>
    <t xml:space="preserve">Примечания</t>
  </si>
  <si>
    <t xml:space="preserve">Перевыборка сделана из строк 162-250: записей с расчетом эффективности найдено 37, резервных строк без расчета - 3.</t>
  </si>
  <si>
    <t xml:space="preserve">Резервные строки оставлены только чтобы сохранить формат выборки из 40 записей; финансовые значения по ним не подставлялись.</t>
  </si>
  <si>
    <t xml:space="preserve">Финансовые значения указаны в тыс. руб. по данным ФНС БФО за 2023-2025.</t>
  </si>
  <si>
    <t xml:space="preserve">Показатель эффективности рассчитан за 3 года: ((сумма чистой прибыли - сумма чистого убытка) / сумма чистой прибыли) * 100.</t>
  </si>
  <si>
    <t xml:space="preserve">Кол-во персонала и поквартальная отчетность в открытой ФНС БФО по этим непубличным компаниям не раскрываются; в таблицах стоит '-'.</t>
  </si>
  <si>
    <t xml:space="preserve">Для сетей использовано юрлицо оператора/управляющей компании или близкое юрлицо бренда; уровень надежности указан отдельно.</t>
  </si>
  <si>
    <t xml:space="preserve">Название</t>
  </si>
  <si>
    <t xml:space="preserve">Адрес</t>
  </si>
  <si>
    <t xml:space="preserve">Отзывы</t>
  </si>
  <si>
    <t xml:space="preserve">Рейтинг</t>
  </si>
  <si>
    <t xml:space="preserve">Надежность</t>
  </si>
  <si>
    <t xml:space="preserve">Основание сопоставления</t>
  </si>
  <si>
    <t xml:space="preserve">Выручка 2023</t>
  </si>
  <si>
    <t xml:space="preserve">Выручка 2024</t>
  </si>
  <si>
    <t xml:space="preserve">Выручка 2025</t>
  </si>
  <si>
    <t xml:space="preserve">Валовая прибыль 2023</t>
  </si>
  <si>
    <t xml:space="preserve">Валовая прибыль 2024</t>
  </si>
  <si>
    <t xml:space="preserve">Валовая прибыль 2025</t>
  </si>
  <si>
    <t xml:space="preserve">Чистая прибыль 2023</t>
  </si>
  <si>
    <t xml:space="preserve">Чистая прибыль 2024</t>
  </si>
  <si>
    <t xml:space="preserve">Чистая прибыль 2025</t>
  </si>
  <si>
    <t xml:space="preserve">Чистый убыток 2023</t>
  </si>
  <si>
    <t xml:space="preserve">Чистый убыток 2024</t>
  </si>
  <si>
    <t xml:space="preserve">Чистый убыток 2025</t>
  </si>
  <si>
    <t xml:space="preserve">Персонал 2023</t>
  </si>
  <si>
    <t xml:space="preserve">Персонал 2024</t>
  </si>
  <si>
    <t xml:space="preserve">Персонал 2025</t>
  </si>
  <si>
    <t xml:space="preserve">Сноб Кофе</t>
  </si>
  <si>
    <t xml:space="preserve">Красная ул. 165/2</t>
  </si>
  <si>
    <t xml:space="preserve">ООО "КОФЕ-ФЕ"</t>
  </si>
  <si>
    <t xml:space="preserve">2204088208</t>
  </si>
  <si>
    <t xml:space="preserve">низкая</t>
  </si>
  <si>
    <t xml:space="preserve">автоподбор ФНС по названию; проверены ОКВЭД 56 и наличие БФО</t>
  </si>
  <si>
    <t xml:space="preserve">-</t>
  </si>
  <si>
    <t xml:space="preserve">БФО найдена; полнота данных 6/9.</t>
  </si>
  <si>
    <t xml:space="preserve">ул. Янковского 157</t>
  </si>
  <si>
    <t xml:space="preserve">высокая</t>
  </si>
  <si>
    <t xml:space="preserve">оператор сети Вкусно — и точка</t>
  </si>
  <si>
    <t xml:space="preserve">БФО найдена; полнота данных 9/9.</t>
  </si>
  <si>
    <t xml:space="preserve">Красная ул. 176 корп. 8</t>
  </si>
  <si>
    <t xml:space="preserve">Бурум</t>
  </si>
  <si>
    <t xml:space="preserve">улица Восточно-Кругликовская 18/1 Краснодар</t>
  </si>
  <si>
    <t xml:space="preserve">ООО "БУРУМ"</t>
  </si>
  <si>
    <t xml:space="preserve">2623033142</t>
  </si>
  <si>
    <t xml:space="preserve">средняя</t>
  </si>
  <si>
    <t xml:space="preserve">Шашлык Юга</t>
  </si>
  <si>
    <t xml:space="preserve">Российская ул. 304</t>
  </si>
  <si>
    <t xml:space="preserve">ООО "ЮГА"</t>
  </si>
  <si>
    <t xml:space="preserve">2317077292</t>
  </si>
  <si>
    <t xml:space="preserve">Бургер Кинг</t>
  </si>
  <si>
    <t xml:space="preserve">Московская ул. 142/2</t>
  </si>
  <si>
    <t xml:space="preserve">ООО "БУРГЕР РУС"</t>
  </si>
  <si>
    <t xml:space="preserve">7719723690</t>
  </si>
  <si>
    <t xml:space="preserve">оператор сети Burger King</t>
  </si>
  <si>
    <t xml:space="preserve">SBW х Subway</t>
  </si>
  <si>
    <t xml:space="preserve">Российская ул. 257</t>
  </si>
  <si>
    <t xml:space="preserve">ООО "ССК"</t>
  </si>
  <si>
    <t xml:space="preserve">7810476672</t>
  </si>
  <si>
    <t xml:space="preserve">оператор Subway/Subjoy; карточка ФНС проверяется по ИНН</t>
  </si>
  <si>
    <t xml:space="preserve">Российская ул. 267 корп. 5</t>
  </si>
  <si>
    <t xml:space="preserve">Московская ул. 162</t>
  </si>
  <si>
    <t xml:space="preserve">ул. Красных Партизан 443/1</t>
  </si>
  <si>
    <t xml:space="preserve">поиск ФНС по связке 'Дар Пицца Краснодар'; регион Краснодарский, ОКВЭД 56.10</t>
  </si>
  <si>
    <t xml:space="preserve">БФО найдена; полнота данных 4/9.</t>
  </si>
  <si>
    <t xml:space="preserve">СушиВесла</t>
  </si>
  <si>
    <t xml:space="preserve">Темрюкская ул. 145 микрорайон Славянский Прикубанский внутригородской округ Краснодар</t>
  </si>
  <si>
    <t xml:space="preserve">ООО "УПРАВЛЯЮЩАЯ КОМПАНИЯ "СУШИВЕСЛА"</t>
  </si>
  <si>
    <t xml:space="preserve">3444210862</t>
  </si>
  <si>
    <t xml:space="preserve">управляющая компания бренда СушиВесла</t>
  </si>
  <si>
    <t xml:space="preserve">Шашлычная</t>
  </si>
  <si>
    <t xml:space="preserve">Круговая ул. 26А Краснодар</t>
  </si>
  <si>
    <t xml:space="preserve">ООО "ШАШЛЫЧНАЯ"</t>
  </si>
  <si>
    <t xml:space="preserve">2312321155</t>
  </si>
  <si>
    <t xml:space="preserve">ул. Западный Обход 31</t>
  </si>
  <si>
    <t xml:space="preserve">оператор сети Rostic’s</t>
  </si>
  <si>
    <t xml:space="preserve">Маленькая Азия</t>
  </si>
  <si>
    <t xml:space="preserve">ул. Марины Цветаевой 7 корп. 1 микрорайон Догма Парк</t>
  </si>
  <si>
    <t xml:space="preserve">ООО "МАЛЕНЬКАЯ АЗИЯ"</t>
  </si>
  <si>
    <t xml:space="preserve">4909126110</t>
  </si>
  <si>
    <t xml:space="preserve">Шаурма Дубай</t>
  </si>
  <si>
    <t xml:space="preserve">Зиповская ул. 34Б микрорайон Завод Измерительных Приборов</t>
  </si>
  <si>
    <t xml:space="preserve">ООО "ДУБАЙ"</t>
  </si>
  <si>
    <t xml:space="preserve">2320250638</t>
  </si>
  <si>
    <t xml:space="preserve">Искусство и Кофе</t>
  </si>
  <si>
    <t xml:space="preserve">ООО "ИСКУССТВО"</t>
  </si>
  <si>
    <t xml:space="preserve">0278981187</t>
  </si>
  <si>
    <t xml:space="preserve">ПроСуши</t>
  </si>
  <si>
    <t xml:space="preserve">Ставропольская ул. 97/1</t>
  </si>
  <si>
    <t xml:space="preserve">ООО "ПРОСУШИ М"</t>
  </si>
  <si>
    <t xml:space="preserve">7717289460</t>
  </si>
  <si>
    <t xml:space="preserve">Резервная строка: показатели не подставлялись, в ФНС БФО не найдено достаточно данных для расчета эффективности.</t>
  </si>
  <si>
    <t xml:space="preserve">Лейка&amp;Кофейка</t>
  </si>
  <si>
    <t xml:space="preserve">Ставропольская ул. 129</t>
  </si>
  <si>
    <t xml:space="preserve">ООО "КОФЕЙКА"</t>
  </si>
  <si>
    <t xml:space="preserve">7743052121</t>
  </si>
  <si>
    <t xml:space="preserve">Ставропольская ул. 137 Краснодар</t>
  </si>
  <si>
    <t xml:space="preserve">БФО найдена; полнота данных 2/9.</t>
  </si>
  <si>
    <t xml:space="preserve">The Кухня</t>
  </si>
  <si>
    <t xml:space="preserve">Ставропольская ул. 220/2</t>
  </si>
  <si>
    <t xml:space="preserve">ООО "КУХНЯ"</t>
  </si>
  <si>
    <t xml:space="preserve">7813671262</t>
  </si>
  <si>
    <t xml:space="preserve">Алма-Атинская ул. 2/21</t>
  </si>
  <si>
    <t xml:space="preserve">просп. Чекистов 17Э микрорайон Юбилейный</t>
  </si>
  <si>
    <t xml:space="preserve">Алма-Атинская ул. 139</t>
  </si>
  <si>
    <t xml:space="preserve">Северная ул. 3</t>
  </si>
  <si>
    <t xml:space="preserve">Сели Поели</t>
  </si>
  <si>
    <t xml:space="preserve">Алма-Атинская ул. 91</t>
  </si>
  <si>
    <t xml:space="preserve">ООО "СЕЛИ-ПОЕЛИ"</t>
  </si>
  <si>
    <t xml:space="preserve">4345454394</t>
  </si>
  <si>
    <t xml:space="preserve">Базар</t>
  </si>
  <si>
    <t xml:space="preserve">ул. 70-летия Октября 14/1 микрорайон Юбилейный</t>
  </si>
  <si>
    <t xml:space="preserve">ООО "БАЗАР"</t>
  </si>
  <si>
    <t xml:space="preserve">1657241710</t>
  </si>
  <si>
    <t xml:space="preserve">БФО найдена; полнота данных 7/9.</t>
  </si>
  <si>
    <t xml:space="preserve">Минская ул. 120/8 Краснодар</t>
  </si>
  <si>
    <t xml:space="preserve">Папа Джонс</t>
  </si>
  <si>
    <t xml:space="preserve">ул. Уральская 98/11 Краснодар Краснодарский край 350075</t>
  </si>
  <si>
    <t xml:space="preserve">ООО "ПИ ДЖЕЙ РЕСТОРАНТС"</t>
  </si>
  <si>
    <t xml:space="preserve">7724701466</t>
  </si>
  <si>
    <t xml:space="preserve">оператор/франчайзер Papa Johns; карточка ФНС проверяется по ИНН; карточка ФНС не найдена</t>
  </si>
  <si>
    <t xml:space="preserve">Subway</t>
  </si>
  <si>
    <t xml:space="preserve">ул. Уральская 79/1 Краснодар Краснодарский край 350059</t>
  </si>
  <si>
    <t xml:space="preserve">Старик Хинкалыч</t>
  </si>
  <si>
    <t xml:space="preserve">ООО "СТАРИК ХИНКАЛЫЧ"</t>
  </si>
  <si>
    <t xml:space="preserve">9201517469</t>
  </si>
  <si>
    <t xml:space="preserve">точное название бренда в ФНС БФО; не конкретная точка</t>
  </si>
  <si>
    <t xml:space="preserve">Платформа 9 3/4</t>
  </si>
  <si>
    <t xml:space="preserve">не найдено надежное сопоставление</t>
  </si>
  <si>
    <t xml:space="preserve">Бумбараш</t>
  </si>
  <si>
    <t xml:space="preserve">ООО "БУМБАРАШ БОЛЬШОЙ"</t>
  </si>
  <si>
    <t xml:space="preserve">2308275139</t>
  </si>
  <si>
    <t xml:space="preserve">близкое название и регион Краснодарский</t>
  </si>
  <si>
    <t xml:space="preserve">БумБараш</t>
  </si>
  <si>
    <t xml:space="preserve">Карасунская улица 77/1 Краснодар</t>
  </si>
  <si>
    <t xml:space="preserve">Джентльмены удачи</t>
  </si>
  <si>
    <t xml:space="preserve">Улица Тургенева 139/1 Краснодар</t>
  </si>
  <si>
    <t xml:space="preserve">ООО "ДЖЕНТЛЬМЕНЫ УДАЧИ"</t>
  </si>
  <si>
    <t xml:space="preserve">7813647044</t>
  </si>
  <si>
    <t xml:space="preserve">МЯСО&amp;РЫБА</t>
  </si>
  <si>
    <t xml:space="preserve">Красная улица 120 Краснодар</t>
  </si>
  <si>
    <t xml:space="preserve">ООО "МЯСО И РЫБА КАШИРКА"</t>
  </si>
  <si>
    <t xml:space="preserve">7702421877</t>
  </si>
  <si>
    <t xml:space="preserve">компания сети МЯСО&amp;РЫБА; не конкретная точка</t>
  </si>
  <si>
    <t xml:space="preserve">Любим печь</t>
  </si>
  <si>
    <t xml:space="preserve">Улица Ломоносова 90 Краснодар</t>
  </si>
  <si>
    <t xml:space="preserve">ООО ФИРМА "ПЕЧЬ"</t>
  </si>
  <si>
    <t xml:space="preserve">2365031146</t>
  </si>
  <si>
    <t xml:space="preserve">Год</t>
  </si>
  <si>
    <t xml:space="preserve">Выручка, тыс. руб.</t>
  </si>
  <si>
    <t xml:space="preserve">Валовая прибыль, тыс. руб.</t>
  </si>
  <si>
    <t xml:space="preserve">Чистая прибыль, тыс. руб.</t>
  </si>
  <si>
    <t xml:space="preserve">Чистый убыток, тыс. руб.</t>
  </si>
  <si>
    <t xml:space="preserve">Персонал</t>
  </si>
  <si>
    <t xml:space="preserve">Дата БФО</t>
  </si>
  <si>
    <t xml:space="preserve">ID отчета</t>
  </si>
  <si>
    <t xml:space="preserve">Источник</t>
  </si>
  <si>
    <t xml:space="preserve">2024-03-27</t>
  </si>
  <si>
    <t xml:space="preserve">https://bo.nalog.gov.ru/organizations-card/2204088208</t>
  </si>
  <si>
    <t xml:space="preserve">2025-03-27</t>
  </si>
  <si>
    <t xml:space="preserve">2026-03-30</t>
  </si>
  <si>
    <t xml:space="preserve">2024-03-15</t>
  </si>
  <si>
    <t xml:space="preserve">https://bo.nalog.gov.ru/organizations-card/7710044140</t>
  </si>
  <si>
    <t xml:space="preserve">2025-03-28</t>
  </si>
  <si>
    <t xml:space="preserve">2026-03-27</t>
  </si>
  <si>
    <t xml:space="preserve">2024-02-19</t>
  </si>
  <si>
    <t xml:space="preserve">https://bo.nalog.gov.ru/organizations-card/2623033142</t>
  </si>
  <si>
    <t xml:space="preserve">2025-03-31</t>
  </si>
  <si>
    <t xml:space="preserve">2026-03-24</t>
  </si>
  <si>
    <t xml:space="preserve">2024-03-29</t>
  </si>
  <si>
    <t xml:space="preserve">https://bo.nalog.gov.ru/organizations-card/2317077292</t>
  </si>
  <si>
    <t xml:space="preserve">2026-03-31</t>
  </si>
  <si>
    <t xml:space="preserve">2024-05-28</t>
  </si>
  <si>
    <t xml:space="preserve">https://bo.nalog.gov.ru/organizations-card/7719723690</t>
  </si>
  <si>
    <t xml:space="preserve">2025-06-03</t>
  </si>
  <si>
    <t xml:space="preserve">2024-03-24</t>
  </si>
  <si>
    <t xml:space="preserve">https://bo.nalog.gov.ru/organizations-card/7810476672</t>
  </si>
  <si>
    <t xml:space="preserve">2026-03-25</t>
  </si>
  <si>
    <t xml:space="preserve">https://bo.nalog.gov.ru/organizations-card/2311356162</t>
  </si>
  <si>
    <t xml:space="preserve">2024-04-01</t>
  </si>
  <si>
    <t xml:space="preserve">https://bo.nalog.gov.ru/organizations-card/3444210862</t>
  </si>
  <si>
    <t xml:space="preserve">2025-04-07</t>
  </si>
  <si>
    <t xml:space="preserve">https://bo.nalog.gov.ru/organizations-card/2312321155</t>
  </si>
  <si>
    <t xml:space="preserve">2024-05-29</t>
  </si>
  <si>
    <t xml:space="preserve">https://bo.nalog.gov.ru/organizations-card/7722561551</t>
  </si>
  <si>
    <t xml:space="preserve">2025-05-23</t>
  </si>
  <si>
    <t xml:space="preserve">2026-04-30</t>
  </si>
  <si>
    <t xml:space="preserve">https://bo.nalog.gov.ru/organizations-card/4909126110</t>
  </si>
  <si>
    <t xml:space="preserve">2025-02-04</t>
  </si>
  <si>
    <t xml:space="preserve">2024-03-22</t>
  </si>
  <si>
    <t xml:space="preserve">https://bo.nalog.gov.ru/organizations-card/2320250638</t>
  </si>
  <si>
    <t xml:space="preserve">2025-03-10</t>
  </si>
  <si>
    <t xml:space="preserve">2025-03-24</t>
  </si>
  <si>
    <t xml:space="preserve">https://bo.nalog.gov.ru/organizations-card/0278981187</t>
  </si>
  <si>
    <t xml:space="preserve">2026-04-22</t>
  </si>
  <si>
    <t xml:space="preserve">https://bo.nalog.gov.ru/organizations-card/7717289460</t>
  </si>
  <si>
    <t xml:space="preserve">2024-03-18</t>
  </si>
  <si>
    <t xml:space="preserve">https://bo.nalog.gov.ru/organizations-card/7743052121</t>
  </si>
  <si>
    <t xml:space="preserve">2025-03-23</t>
  </si>
  <si>
    <t xml:space="preserve">https://bo.nalog.gov.ru/organizations-card/2721254750</t>
  </si>
  <si>
    <t xml:space="preserve">2026-02-05</t>
  </si>
  <si>
    <t xml:space="preserve">2024-02-15</t>
  </si>
  <si>
    <t xml:space="preserve">https://bo.nalog.gov.ru/organizations-card/7813671262</t>
  </si>
  <si>
    <t xml:space="preserve">2025-03-18</t>
  </si>
  <si>
    <t xml:space="preserve">2026-03-12</t>
  </si>
  <si>
    <t xml:space="preserve">2024-03-07</t>
  </si>
  <si>
    <t xml:space="preserve">https://bo.nalog.gov.ru/organizations-card/4345454394</t>
  </si>
  <si>
    <t xml:space="preserve">2025-03-14</t>
  </si>
  <si>
    <t xml:space="preserve">https://bo.nalog.gov.ru/organizations-card/1657241710</t>
  </si>
  <si>
    <t xml:space="preserve">2025-03-13</t>
  </si>
  <si>
    <t xml:space="preserve">2026-03-11</t>
  </si>
  <si>
    <t xml:space="preserve">2024-03-12</t>
  </si>
  <si>
    <t xml:space="preserve">https://bo.nalog.gov.ru/organizations-card/9201517469</t>
  </si>
  <si>
    <t xml:space="preserve">2025-02-07</t>
  </si>
  <si>
    <t xml:space="preserve">2026-03-13</t>
  </si>
  <si>
    <t xml:space="preserve">https://bo.nalog.gov.ru/organizations-card/2308275139</t>
  </si>
  <si>
    <t xml:space="preserve">2026-02-19</t>
  </si>
  <si>
    <t xml:space="preserve">2024-03-20</t>
  </si>
  <si>
    <t xml:space="preserve">https://bo.nalog.gov.ru/organizations-card/7456001807</t>
  </si>
  <si>
    <t xml:space="preserve">2025-03-19</t>
  </si>
  <si>
    <t xml:space="preserve">2026-03-19</t>
  </si>
  <si>
    <t xml:space="preserve">2024-04-06</t>
  </si>
  <si>
    <t xml:space="preserve">https://bo.nalog.gov.ru/organizations-card/1655245067</t>
  </si>
  <si>
    <t xml:space="preserve">2025-02-24</t>
  </si>
  <si>
    <t xml:space="preserve">2026-02-27</t>
  </si>
  <si>
    <t xml:space="preserve">https://bo.nalog.gov.ru/organizations-card/7813647044</t>
  </si>
  <si>
    <t xml:space="preserve">2026-04-14</t>
  </si>
  <si>
    <t xml:space="preserve">https://bo.nalog.gov.ru/organizations-card/7702421877</t>
  </si>
  <si>
    <t xml:space="preserve">2025-03-26</t>
  </si>
  <si>
    <t xml:space="preserve">2026-03-20</t>
  </si>
  <si>
    <t xml:space="preserve">2024-03-21</t>
  </si>
  <si>
    <t xml:space="preserve">https://bo.nalog.gov.ru/organizations-card/2365031146</t>
  </si>
  <si>
    <t xml:space="preserve">2025-03-17</t>
  </si>
  <si>
    <t xml:space="preserve">2026-03-23</t>
  </si>
  <si>
    <t xml:space="preserve">Ранг</t>
  </si>
  <si>
    <t xml:space="preserve">Группа топ-6</t>
  </si>
  <si>
    <t xml:space="preserve">Выручка 2023-2025</t>
  </si>
  <si>
    <t xml:space="preserve">Топ-6: 2 максимальных, 2 средних, 2 минимальных</t>
  </si>
  <si>
    <t xml:space="preserve">Комментарий</t>
  </si>
  <si>
    <t xml:space="preserve">Топ-6 выбран по уникальным ИНН, чтобы одна сеть не дублировалась несколькими адресами.</t>
  </si>
  <si>
    <t xml:space="preserve">Квартал</t>
  </si>
  <si>
    <t xml:space="preserve">Выручка</t>
  </si>
  <si>
    <t xml:space="preserve">Валовая прибыль</t>
  </si>
  <si>
    <t xml:space="preserve">Чистая прибыль</t>
  </si>
  <si>
    <t xml:space="preserve">Чистый убыток</t>
  </si>
  <si>
    <t xml:space="preserve">Статус</t>
  </si>
  <si>
    <t xml:space="preserve">Q1</t>
  </si>
  <si>
    <t xml:space="preserve">Поквартальные данные не найдены в открытой ФНС БФО</t>
  </si>
  <si>
    <t xml:space="preserve">Q2</t>
  </si>
  <si>
    <t xml:space="preserve">Q3</t>
  </si>
  <si>
    <t xml:space="preserve">Q4</t>
  </si>
  <si>
    <t xml:space="preserve">Графики по топ-6</t>
  </si>
  <si>
    <t xml:space="preserve">Финансовые значения указаны в тыс. руб.; квартальные данные не раскрыты, поэтому графики построены по годам.</t>
  </si>
  <si>
    <t xml:space="preserve">187 Вкусно — и точка</t>
  </si>
  <si>
    <t xml:space="preserve">223 Rostic's</t>
  </si>
  <si>
    <t xml:space="preserve">188 Дар Пицца</t>
  </si>
  <si>
    <t xml:space="preserve">217 Баблс</t>
  </si>
  <si>
    <t xml:space="preserve">241 Диканька</t>
  </si>
  <si>
    <t xml:space="preserve">246 Чик Чак</t>
  </si>
  <si>
    <t xml:space="preserve">Чистый финансовый результат</t>
  </si>
  <si>
    <t xml:space="preserve">Показатель эффективности</t>
  </si>
  <si>
    <t xml:space="preserve">ID ФНС</t>
  </si>
  <si>
    <t xml:space="preserve">URL</t>
  </si>
  <si>
    <t xml:space="preserve">Годовая бухгалтерская отчетность; показатели формы 2: 2110, 2100, 2400.</t>
  </si>
  <si>
    <t xml:space="preserve">https://bo.nalog.gov.ru/organizations-card/7724701466</t>
  </si>
  <si>
    <t xml:space="preserve">Исходная книга</t>
  </si>
  <si>
    <t xml:space="preserve">DannyePoVykhodOtsenkam.xlsx</t>
  </si>
  <si>
    <t xml:space="preserve">C:/Users/Playerr/Downloads/DannyePoVykhodOtsenkam.xlsx</t>
  </si>
  <si>
    <t xml:space="preserve">Лист "Все Значения", строки 162-250; выбраны топ-40 по отзывам.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</si>
</sst>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;[RED]\(#,##0\);\-"/>
    <numFmt numFmtId="167" formatCode="#,##0"/>
  </numFmts>
  <fonts count="10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rgb="FFEAF2F8"/>
        <bgColor rgb="FFE2E8F0"/>
      </patternFill>
    </fill>
    <fill>
      <patternFill patternType="solid">
        <fgColor rgb="FF548235"/>
        <bgColor rgb="FF4EA72E"/>
      </patternFill>
    </fill>
    <fill>
      <patternFill patternType="solid">
        <fgColor rgb="FF5B9BD5"/>
        <bgColor rgb="FF8B8B8B"/>
      </patternFill>
    </fill>
    <fill>
      <patternFill patternType="solid">
        <fgColor rgb="FF70AD47"/>
        <bgColor rgb="FF4EA72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548235"/>
      <rgbColor rgb="FF800080"/>
      <rgbColor rgb="FF156082"/>
      <rgbColor rgb="FFCCCCCC"/>
      <rgbColor rgb="FF8B8B8B"/>
      <rgbColor rgb="FF5B9BD5"/>
      <rgbColor rgb="FFA02B93"/>
      <rgbColor rgb="FFFFFFCC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E2E8F0"/>
      <rgbColor rgb="FFD9E2F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70AD47"/>
      <rgbColor rgb="FF17365D"/>
      <rgbColor rgb="FF4EA72E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Топ-6: выручка 2023-2025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"187 Вкусно — и точка"</c:f>
              <c:strCache>
                <c:ptCount val="1"/>
                <c:pt idx="0">
                  <c:v>187 Вкусно — и точка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Графики!$A$6:$A$8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Графики!$B$6:$B$8</c:f>
              <c:numCache>
                <c:formatCode>General</c:formatCode>
                <c:ptCount val="3"/>
                <c:pt idx="0">
                  <c:v>155745210</c:v>
                </c:pt>
                <c:pt idx="1">
                  <c:v>187357965</c:v>
                </c:pt>
                <c:pt idx="2">
                  <c:v>218572895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"223 Rostic's"</c:f>
              <c:strCache>
                <c:ptCount val="1"/>
                <c:pt idx="0">
                  <c:v>223 Rostic's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Графики!$A$6:$A$8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Графики!$C$6:$C$8</c:f>
              <c:numCache>
                <c:formatCode>General</c:formatCode>
                <c:ptCount val="3"/>
                <c:pt idx="0">
                  <c:v>20168953</c:v>
                </c:pt>
                <c:pt idx="1">
                  <c:v>25930672</c:v>
                </c:pt>
                <c:pt idx="2">
                  <c:v>30813210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"188 Дар Пицца"</c:f>
              <c:strCache>
                <c:ptCount val="1"/>
                <c:pt idx="0">
                  <c:v>188 Дар Пицца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Графики!$A$6:$A$8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Графики!$D$6:$D$8</c:f>
              <c:numCache>
                <c:formatCode>General</c:formatCode>
                <c:ptCount val="3"/>
                <c:pt idx="0">
                  <c:v>0</c:v>
                </c:pt>
                <c:pt idx="1">
                  <c:v>106727</c:v>
                </c:pt>
                <c:pt idx="2">
                  <c:v>209579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"217 Баблс"</c:f>
              <c:strCache>
                <c:ptCount val="1"/>
                <c:pt idx="0">
                  <c:v>217 Баблс</c:v>
                </c:pt>
              </c:strCache>
            </c:strRef>
          </c:tx>
          <c:spPr>
            <a:solidFill>
              <a:srgbClr val="0f9ed5"/>
            </a:solidFill>
            <a:ln w="38160">
              <a:solidFill>
                <a:srgbClr val="0f9e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Графики!$A$6:$A$8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Графики!$E$6:$E$8</c:f>
              <c:numCache>
                <c:formatCode>General</c:formatCode>
                <c:ptCount val="3"/>
                <c:pt idx="0">
                  <c:v>4663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"241 Диканька"</c:f>
              <c:strCache>
                <c:ptCount val="1"/>
                <c:pt idx="0">
                  <c:v>241 Диканька</c:v>
                </c:pt>
              </c:strCache>
            </c:strRef>
          </c:tx>
          <c:spPr>
            <a:solidFill>
              <a:srgbClr val="a02b93"/>
            </a:solidFill>
            <a:ln w="38160">
              <a:solidFill>
                <a:srgbClr val="a02b93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Графики!$A$6:$A$8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Графики!$F$6:$F$8</c:f>
              <c:numCache>
                <c:formatCode>General</c:formatCode>
                <c:ptCount val="3"/>
                <c:pt idx="0">
                  <c:v>126094</c:v>
                </c:pt>
                <c:pt idx="1">
                  <c:v>164603</c:v>
                </c:pt>
                <c:pt idx="2">
                  <c:v>144505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"246 Чик Чак"</c:f>
              <c:strCache>
                <c:ptCount val="1"/>
                <c:pt idx="0">
                  <c:v>246 Чик Чак</c:v>
                </c:pt>
              </c:strCache>
            </c:strRef>
          </c:tx>
          <c:spPr>
            <a:solidFill>
              <a:srgbClr val="4ea72e"/>
            </a:solidFill>
            <a:ln w="38160">
              <a:solidFill>
                <a:srgbClr val="4ea72e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Графики!$A$6:$A$8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Графики!$G$6:$G$8</c:f>
              <c:numCache>
                <c:formatCode>General</c:formatCode>
                <c:ptCount val="3"/>
                <c:pt idx="0">
                  <c:v>107076</c:v>
                </c:pt>
                <c:pt idx="1">
                  <c:v>126884</c:v>
                </c:pt>
                <c:pt idx="2">
                  <c:v>149153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299667"/>
        <c:axId val="3702243"/>
      </c:lineChart>
      <c:catAx>
        <c:axId val="2929966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702243"/>
        <c:crosses val="autoZero"/>
        <c:auto val="1"/>
        <c:lblAlgn val="ctr"/>
        <c:lblOffset val="100"/>
        <c:noMultiLvlLbl val="0"/>
      </c:catAx>
      <c:valAx>
        <c:axId val="370224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Заглавие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29966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Топ-6: валовая прибыль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"187 Вкусно — и точка"</c:f>
              <c:strCache>
                <c:ptCount val="1"/>
                <c:pt idx="0">
                  <c:v>187 Вкусно — и точка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Графики!$A$25:$A$27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Графики!$B$25:$B$27</c:f>
              <c:numCache>
                <c:formatCode>General</c:formatCode>
                <c:ptCount val="3"/>
                <c:pt idx="0">
                  <c:v>27475435</c:v>
                </c:pt>
                <c:pt idx="1">
                  <c:v>35440526</c:v>
                </c:pt>
                <c:pt idx="2">
                  <c:v>37855764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"223 Rostic's"</c:f>
              <c:strCache>
                <c:ptCount val="1"/>
                <c:pt idx="0">
                  <c:v>223 Rostic's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Графики!$A$25:$A$27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Графики!$C$25:$C$27</c:f>
              <c:numCache>
                <c:formatCode>General</c:formatCode>
                <c:ptCount val="3"/>
                <c:pt idx="0">
                  <c:v>14955521</c:v>
                </c:pt>
                <c:pt idx="1">
                  <c:v>20142693</c:v>
                </c:pt>
                <c:pt idx="2">
                  <c:v>24240245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"188 Дар Пицца"</c:f>
              <c:strCache>
                <c:ptCount val="1"/>
                <c:pt idx="0">
                  <c:v>188 Дар Пицца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Графики!$A$25:$A$27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Графики!$D$25:$D$27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tx>
            <c:strRef>
              <c:f>"217 Баблс"</c:f>
              <c:strCache>
                <c:ptCount val="1"/>
                <c:pt idx="0">
                  <c:v>217 Баблс</c:v>
                </c:pt>
              </c:strCache>
            </c:strRef>
          </c:tx>
          <c:spPr>
            <a:solidFill>
              <a:srgbClr val="0f9ed5"/>
            </a:solidFill>
            <a:ln w="38160">
              <a:solidFill>
                <a:srgbClr val="0f9e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Графики!$A$25:$A$27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Графики!$E$25:$E$27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4"/>
          <c:order val="4"/>
          <c:tx>
            <c:strRef>
              <c:f>"241 Диканька"</c:f>
              <c:strCache>
                <c:ptCount val="1"/>
                <c:pt idx="0">
                  <c:v>241 Диканька</c:v>
                </c:pt>
              </c:strCache>
            </c:strRef>
          </c:tx>
          <c:spPr>
            <a:solidFill>
              <a:srgbClr val="a02b93"/>
            </a:solidFill>
            <a:ln w="38160">
              <a:solidFill>
                <a:srgbClr val="a02b93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Графики!$A$25:$A$27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Графики!$F$25:$F$27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5"/>
          <c:order val="5"/>
          <c:tx>
            <c:strRef>
              <c:f>"246 Чик Чак"</c:f>
              <c:strCache>
                <c:ptCount val="1"/>
                <c:pt idx="0">
                  <c:v>246 Чик Чак</c:v>
                </c:pt>
              </c:strCache>
            </c:strRef>
          </c:tx>
          <c:spPr>
            <a:solidFill>
              <a:srgbClr val="4ea72e"/>
            </a:solidFill>
            <a:ln w="38160">
              <a:solidFill>
                <a:srgbClr val="4ea72e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Графики!$A$25:$A$27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Графики!$G$25:$G$27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14895"/>
        <c:axId val="66717158"/>
      </c:lineChart>
      <c:catAx>
        <c:axId val="591489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717158"/>
        <c:crosses val="autoZero"/>
        <c:auto val="1"/>
        <c:lblAlgn val="ctr"/>
        <c:lblOffset val="100"/>
        <c:noMultiLvlLbl val="0"/>
      </c:catAx>
      <c:valAx>
        <c:axId val="6671715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148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Топ-6: чистый результат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"187 Вкусно — и точка"</c:f>
              <c:strCache>
                <c:ptCount val="1"/>
                <c:pt idx="0">
                  <c:v>187 Вкусно — и точка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Графики!$A$44:$A$46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Графики!$B$44:$B$46</c:f>
              <c:numCache>
                <c:formatCode>General</c:formatCode>
                <c:ptCount val="3"/>
                <c:pt idx="0">
                  <c:v>14174325</c:v>
                </c:pt>
                <c:pt idx="1">
                  <c:v>16959735</c:v>
                </c:pt>
                <c:pt idx="2">
                  <c:v>14405355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"223 Rostic's"</c:f>
              <c:strCache>
                <c:ptCount val="1"/>
                <c:pt idx="0">
                  <c:v>223 Rostic's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Графики!$A$44:$A$46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Графики!$C$44:$C$46</c:f>
              <c:numCache>
                <c:formatCode>General</c:formatCode>
                <c:ptCount val="3"/>
                <c:pt idx="0">
                  <c:v>3539841</c:v>
                </c:pt>
                <c:pt idx="1">
                  <c:v>5678938</c:v>
                </c:pt>
                <c:pt idx="2">
                  <c:v>4115411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"188 Дар Пицца"</c:f>
              <c:strCache>
                <c:ptCount val="1"/>
                <c:pt idx="0">
                  <c:v>188 Дар Пицца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Графики!$A$44:$A$46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Графики!$D$44:$D$46</c:f>
              <c:numCache>
                <c:formatCode>General</c:formatCode>
                <c:ptCount val="3"/>
                <c:pt idx="1">
                  <c:v>485</c:v>
                </c:pt>
                <c:pt idx="2">
                  <c:v>116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"217 Баблс"</c:f>
              <c:strCache>
                <c:ptCount val="1"/>
                <c:pt idx="0">
                  <c:v>217 Баблс</c:v>
                </c:pt>
              </c:strCache>
            </c:strRef>
          </c:tx>
          <c:spPr>
            <a:solidFill>
              <a:srgbClr val="0f9ed5"/>
            </a:solidFill>
            <a:ln w="38160">
              <a:solidFill>
                <a:srgbClr val="0f9e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Графики!$A$44:$A$46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Графики!$E$44:$E$46</c:f>
              <c:numCache>
                <c:formatCode>General</c:formatCode>
                <c:ptCount val="3"/>
                <c:pt idx="0">
                  <c:v>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"241 Диканька"</c:f>
              <c:strCache>
                <c:ptCount val="1"/>
                <c:pt idx="0">
                  <c:v>241 Диканька</c:v>
                </c:pt>
              </c:strCache>
            </c:strRef>
          </c:tx>
          <c:spPr>
            <a:solidFill>
              <a:srgbClr val="a02b93"/>
            </a:solidFill>
            <a:ln w="38160">
              <a:solidFill>
                <a:srgbClr val="a02b93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Графики!$A$44:$A$46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Графики!$F$44:$F$46</c:f>
              <c:numCache>
                <c:formatCode>General</c:formatCode>
                <c:ptCount val="3"/>
                <c:pt idx="0">
                  <c:v>2204</c:v>
                </c:pt>
                <c:pt idx="1">
                  <c:v>270</c:v>
                </c:pt>
                <c:pt idx="2">
                  <c:v>-3220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"246 Чик Чак"</c:f>
              <c:strCache>
                <c:ptCount val="1"/>
                <c:pt idx="0">
                  <c:v>246 Чик Чак</c:v>
                </c:pt>
              </c:strCache>
            </c:strRef>
          </c:tx>
          <c:spPr>
            <a:solidFill>
              <a:srgbClr val="4ea72e"/>
            </a:solidFill>
            <a:ln w="38160">
              <a:solidFill>
                <a:srgbClr val="4ea72e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Графики!$A$44:$A$46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Графики!$G$44:$G$46</c:f>
              <c:numCache>
                <c:formatCode>General</c:formatCode>
                <c:ptCount val="3"/>
                <c:pt idx="0">
                  <c:v>333</c:v>
                </c:pt>
                <c:pt idx="1">
                  <c:v>-5074</c:v>
                </c:pt>
                <c:pt idx="2">
                  <c:v>-1659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345268"/>
        <c:axId val="67318681"/>
      </c:lineChart>
      <c:catAx>
        <c:axId val="5434526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318681"/>
        <c:crosses val="autoZero"/>
        <c:auto val="1"/>
        <c:lblAlgn val="ctr"/>
        <c:lblOffset val="100"/>
        <c:noMultiLvlLbl val="0"/>
      </c:catAx>
      <c:valAx>
        <c:axId val="6731868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3452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Эффективность по топ-6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"Эффективность, %"</c:f>
              <c:strCache>
                <c:ptCount val="1"/>
                <c:pt idx="0">
                  <c:v>Эффективность, %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Графики!$A$63:$A$68</c:f>
              <c:strCache>
                <c:ptCount val="6"/>
                <c:pt idx="0">
                  <c:v>187 Вкусно — и точка</c:v>
                </c:pt>
                <c:pt idx="1">
                  <c:v>223 Rostic's</c:v>
                </c:pt>
                <c:pt idx="2">
                  <c:v>188 Дар Пицца</c:v>
                </c:pt>
                <c:pt idx="3">
                  <c:v>217 Баблс</c:v>
                </c:pt>
                <c:pt idx="4">
                  <c:v>241 Диканька</c:v>
                </c:pt>
                <c:pt idx="5">
                  <c:v>246 Чик Чак</c:v>
                </c:pt>
              </c:strCache>
            </c:strRef>
          </c:cat>
          <c:val>
            <c:numRef>
              <c:f>Графики!$B$63:$B$68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-30.1535974130962</c:v>
                </c:pt>
                <c:pt idx="5">
                  <c:v>-1921.92192192192</c:v>
                </c:pt>
              </c:numCache>
            </c:numRef>
          </c:val>
        </c:ser>
        <c:gapWidth val="150"/>
        <c:overlap val="0"/>
        <c:axId val="21805619"/>
        <c:axId val="46430431"/>
      </c:barChart>
      <c:catAx>
        <c:axId val="2180561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6430431"/>
        <c:crosses val="autoZero"/>
        <c:auto val="1"/>
        <c:lblAlgn val="ctr"/>
        <c:lblOffset val="100"/>
        <c:noMultiLvlLbl val="0"/>
      </c:catAx>
      <c:valAx>
        <c:axId val="4643043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8056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25</xdr:col>
      <xdr:colOff>464040</xdr:colOff>
      <xdr:row>21</xdr:row>
      <xdr:rowOff>4577400</xdr:rowOff>
    </xdr:to>
    <xdr:graphicFrame>
      <xdr:nvGraphicFramePr>
        <xdr:cNvPr id="0" name="Chart"/>
        <xdr:cNvGraphicFramePr/>
      </xdr:nvGraphicFramePr>
      <xdr:xfrm>
        <a:off x="8630280" y="571680"/>
        <a:ext cx="10859760" cy="800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0</xdr:rowOff>
    </xdr:from>
    <xdr:to>
      <xdr:col>16</xdr:col>
      <xdr:colOff>611280</xdr:colOff>
      <xdr:row>37</xdr:row>
      <xdr:rowOff>190080</xdr:rowOff>
    </xdr:to>
    <xdr:graphicFrame>
      <xdr:nvGraphicFramePr>
        <xdr:cNvPr id="1" name="Chart"/>
        <xdr:cNvGraphicFramePr/>
      </xdr:nvGraphicFramePr>
      <xdr:xfrm>
        <a:off x="8630280" y="8871480"/>
        <a:ext cx="550332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41</xdr:row>
      <xdr:rowOff>0</xdr:rowOff>
    </xdr:from>
    <xdr:to>
      <xdr:col>16</xdr:col>
      <xdr:colOff>611280</xdr:colOff>
      <xdr:row>56</xdr:row>
      <xdr:rowOff>190440</xdr:rowOff>
    </xdr:to>
    <xdr:graphicFrame>
      <xdr:nvGraphicFramePr>
        <xdr:cNvPr id="2" name="Chart"/>
        <xdr:cNvGraphicFramePr/>
      </xdr:nvGraphicFramePr>
      <xdr:xfrm>
        <a:off x="8630280" y="12490920"/>
        <a:ext cx="5503320" cy="304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60</xdr:row>
      <xdr:rowOff>0</xdr:rowOff>
    </xdr:from>
    <xdr:to>
      <xdr:col>16</xdr:col>
      <xdr:colOff>611280</xdr:colOff>
      <xdr:row>75</xdr:row>
      <xdr:rowOff>190080</xdr:rowOff>
    </xdr:to>
    <xdr:graphicFrame>
      <xdr:nvGraphicFramePr>
        <xdr:cNvPr id="3" name="Chart"/>
        <xdr:cNvGraphicFramePr/>
      </xdr:nvGraphicFramePr>
      <xdr:xfrm>
        <a:off x="8630280" y="16110720"/>
        <a:ext cx="550332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.5"/>
    <col collapsed="false" customWidth="true" hidden="false" outlineLevel="0" max="2" min="2" style="0" width="15"/>
    <col collapsed="false" customWidth="true" hidden="false" outlineLevel="0" max="3" min="3" style="0" width="21.25"/>
    <col collapsed="false" customWidth="true" hidden="false" outlineLevel="0" max="4" min="4" style="0" width="30"/>
    <col collapsed="false" customWidth="true" hidden="false" outlineLevel="0" max="6" min="5" style="0" width="15"/>
    <col collapsed="false" customWidth="true" hidden="false" outlineLevel="0" max="8" min="7" style="0" width="18.75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</row>
    <row r="6" customFormat="false" ht="15" hidden="false" customHeight="false" outlineLevel="0" collapsed="false">
      <c r="A6" s="2" t="s">
        <v>3</v>
      </c>
      <c r="B6" s="2" t="s">
        <v>4</v>
      </c>
    </row>
    <row r="7" customFormat="false" ht="15" hidden="false" customHeight="false" outlineLevel="0" collapsed="false">
      <c r="A7" s="3" t="s">
        <v>5</v>
      </c>
      <c r="B7" s="3" t="n">
        <v>40</v>
      </c>
    </row>
    <row r="8" customFormat="false" ht="15" hidden="false" customHeight="false" outlineLevel="0" collapsed="false">
      <c r="A8" s="3" t="s">
        <v>6</v>
      </c>
      <c r="B8" s="3" t="n">
        <v>37</v>
      </c>
    </row>
    <row r="9" customFormat="false" ht="15" hidden="false" customHeight="false" outlineLevel="0" collapsed="false">
      <c r="A9" s="3" t="s">
        <v>7</v>
      </c>
      <c r="B9" s="3" t="n">
        <v>3</v>
      </c>
    </row>
    <row r="10" customFormat="false" ht="15" hidden="false" customHeight="false" outlineLevel="0" collapsed="false">
      <c r="A10" s="3" t="s">
        <v>8</v>
      </c>
      <c r="B10" s="3" t="s">
        <v>9</v>
      </c>
    </row>
    <row r="11" customFormat="false" ht="15" hidden="false" customHeight="false" outlineLevel="0" collapsed="false">
      <c r="A11" s="3" t="s">
        <v>10</v>
      </c>
      <c r="B11" s="3" t="s">
        <v>11</v>
      </c>
    </row>
    <row r="12" customFormat="false" ht="15" hidden="false" customHeight="false" outlineLevel="0" collapsed="false">
      <c r="A12" s="3" t="s">
        <v>12</v>
      </c>
      <c r="B12" s="3" t="s">
        <v>13</v>
      </c>
    </row>
    <row r="13" customFormat="false" ht="15" hidden="false" customHeight="false" outlineLevel="0" collapsed="false">
      <c r="A13" s="3" t="s">
        <v>14</v>
      </c>
      <c r="B13" s="3" t="s">
        <v>15</v>
      </c>
    </row>
    <row r="14" customFormat="false" ht="15" hidden="false" customHeight="false" outlineLevel="0" collapsed="false">
      <c r="A14" s="3" t="s">
        <v>16</v>
      </c>
      <c r="B14" s="3" t="s">
        <v>17</v>
      </c>
    </row>
    <row r="17" customFormat="false" ht="15" hidden="false" customHeight="false" outlineLevel="0" collapsed="false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24</v>
      </c>
      <c r="H17" s="2" t="s">
        <v>25</v>
      </c>
    </row>
    <row r="18" customFormat="false" ht="15" hidden="false" customHeight="false" outlineLevel="0" collapsed="false">
      <c r="A18" s="3" t="s">
        <v>26</v>
      </c>
      <c r="B18" s="3" t="n">
        <v>187</v>
      </c>
      <c r="C18" s="3" t="s">
        <v>27</v>
      </c>
      <c r="D18" s="3" t="s">
        <v>28</v>
      </c>
      <c r="E18" s="3" t="s">
        <v>29</v>
      </c>
      <c r="F18" s="4" t="n">
        <v>100</v>
      </c>
      <c r="G18" s="5" t="n">
        <v>45539415</v>
      </c>
      <c r="H18" s="5" t="n">
        <v>0</v>
      </c>
    </row>
    <row r="19" customFormat="false" ht="15" hidden="false" customHeight="false" outlineLevel="0" collapsed="false">
      <c r="A19" s="3" t="s">
        <v>26</v>
      </c>
      <c r="B19" s="3" t="n">
        <v>223</v>
      </c>
      <c r="C19" s="3" t="s">
        <v>30</v>
      </c>
      <c r="D19" s="3" t="s">
        <v>31</v>
      </c>
      <c r="E19" s="3" t="s">
        <v>32</v>
      </c>
      <c r="F19" s="4" t="n">
        <v>100</v>
      </c>
      <c r="G19" s="5" t="n">
        <v>13334190</v>
      </c>
      <c r="H19" s="5" t="n">
        <v>0</v>
      </c>
    </row>
    <row r="20" customFormat="false" ht="15" hidden="false" customHeight="false" outlineLevel="0" collapsed="false">
      <c r="A20" s="3" t="s">
        <v>33</v>
      </c>
      <c r="B20" s="3" t="n">
        <v>188</v>
      </c>
      <c r="C20" s="3" t="s">
        <v>34</v>
      </c>
      <c r="D20" s="3" t="s">
        <v>35</v>
      </c>
      <c r="E20" s="3" t="s">
        <v>36</v>
      </c>
      <c r="F20" s="4" t="n">
        <v>100</v>
      </c>
      <c r="G20" s="5" t="n">
        <v>601</v>
      </c>
      <c r="H20" s="5" t="n">
        <v>0</v>
      </c>
    </row>
    <row r="21" customFormat="false" ht="15" hidden="false" customHeight="false" outlineLevel="0" collapsed="false">
      <c r="A21" s="3" t="s">
        <v>33</v>
      </c>
      <c r="B21" s="3" t="n">
        <v>217</v>
      </c>
      <c r="C21" s="3" t="s">
        <v>37</v>
      </c>
      <c r="D21" s="3" t="s">
        <v>38</v>
      </c>
      <c r="E21" s="3" t="s">
        <v>39</v>
      </c>
      <c r="F21" s="4" t="n">
        <v>100</v>
      </c>
      <c r="G21" s="5" t="n">
        <v>82</v>
      </c>
      <c r="H21" s="5" t="n">
        <v>0</v>
      </c>
    </row>
    <row r="22" customFormat="false" ht="15" hidden="false" customHeight="false" outlineLevel="0" collapsed="false">
      <c r="A22" s="3" t="s">
        <v>40</v>
      </c>
      <c r="B22" s="3" t="n">
        <v>241</v>
      </c>
      <c r="C22" s="3" t="s">
        <v>41</v>
      </c>
      <c r="D22" s="3" t="s">
        <v>42</v>
      </c>
      <c r="E22" s="3" t="s">
        <v>43</v>
      </c>
      <c r="F22" s="4" t="n">
        <v>-30.1535974130962</v>
      </c>
      <c r="G22" s="5" t="n">
        <v>2474</v>
      </c>
      <c r="H22" s="5" t="n">
        <v>3220</v>
      </c>
    </row>
    <row r="23" customFormat="false" ht="15" hidden="false" customHeight="false" outlineLevel="0" collapsed="false">
      <c r="A23" s="3" t="s">
        <v>40</v>
      </c>
      <c r="B23" s="3" t="n">
        <v>246</v>
      </c>
      <c r="C23" s="3" t="s">
        <v>44</v>
      </c>
      <c r="D23" s="3" t="s">
        <v>45</v>
      </c>
      <c r="E23" s="3" t="s">
        <v>46</v>
      </c>
      <c r="F23" s="4" t="n">
        <v>-1921.92192192192</v>
      </c>
      <c r="G23" s="5" t="n">
        <v>333</v>
      </c>
      <c r="H23" s="5" t="n">
        <v>6733</v>
      </c>
    </row>
    <row r="26" customFormat="false" ht="15" hidden="false" customHeight="true" outlineLevel="0" collapsed="false">
      <c r="A26" s="6" t="s">
        <v>47</v>
      </c>
      <c r="B26" s="6"/>
      <c r="C26" s="6"/>
      <c r="D26" s="6"/>
      <c r="E26" s="6"/>
      <c r="F26" s="6"/>
      <c r="G26" s="6"/>
      <c r="H26" s="6"/>
    </row>
    <row r="27" customFormat="false" ht="15" hidden="false" customHeight="true" outlineLevel="0" collapsed="false">
      <c r="A27" s="7" t="s">
        <v>48</v>
      </c>
      <c r="B27" s="7"/>
      <c r="C27" s="7"/>
      <c r="D27" s="7"/>
      <c r="E27" s="7"/>
      <c r="F27" s="7"/>
      <c r="G27" s="7"/>
      <c r="H27" s="7"/>
    </row>
    <row r="28" customFormat="false" ht="15" hidden="false" customHeight="true" outlineLevel="0" collapsed="false">
      <c r="A28" s="7" t="s">
        <v>49</v>
      </c>
      <c r="B28" s="7"/>
      <c r="C28" s="7"/>
      <c r="D28" s="7"/>
      <c r="E28" s="7"/>
      <c r="F28" s="7"/>
      <c r="G28" s="7"/>
      <c r="H28" s="7"/>
    </row>
    <row r="29" customFormat="false" ht="15" hidden="false" customHeight="true" outlineLevel="0" collapsed="false">
      <c r="A29" s="7" t="s">
        <v>50</v>
      </c>
      <c r="B29" s="7"/>
      <c r="C29" s="7"/>
      <c r="D29" s="7"/>
      <c r="E29" s="7"/>
      <c r="F29" s="7"/>
      <c r="G29" s="7"/>
      <c r="H29" s="7"/>
    </row>
    <row r="30" customFormat="false" ht="15" hidden="false" customHeight="true" outlineLevel="0" collapsed="false">
      <c r="A30" s="7" t="s">
        <v>51</v>
      </c>
      <c r="B30" s="7"/>
      <c r="C30" s="7"/>
      <c r="D30" s="7"/>
      <c r="E30" s="7"/>
      <c r="F30" s="7"/>
      <c r="G30" s="7"/>
      <c r="H30" s="7"/>
    </row>
    <row r="31" customFormat="false" ht="15" hidden="false" customHeight="true" outlineLevel="0" collapsed="false">
      <c r="A31" s="7" t="s">
        <v>52</v>
      </c>
      <c r="B31" s="7"/>
      <c r="C31" s="7"/>
      <c r="D31" s="7"/>
      <c r="E31" s="7"/>
      <c r="F31" s="7"/>
      <c r="G31" s="7"/>
      <c r="H31" s="7"/>
    </row>
    <row r="32" customFormat="false" ht="15" hidden="false" customHeight="true" outlineLevel="0" collapsed="false">
      <c r="A32" s="7" t="s">
        <v>53</v>
      </c>
      <c r="B32" s="7"/>
      <c r="C32" s="7"/>
      <c r="D32" s="7"/>
      <c r="E32" s="7"/>
      <c r="F32" s="7"/>
      <c r="G32" s="7"/>
      <c r="H32" s="7"/>
    </row>
  </sheetData>
  <mergeCells count="10">
    <mergeCell ref="A1:H1"/>
    <mergeCell ref="A2:H2"/>
    <mergeCell ref="A3:H3"/>
    <mergeCell ref="A26:H26"/>
    <mergeCell ref="A27:H27"/>
    <mergeCell ref="A28:H28"/>
    <mergeCell ref="A29:H29"/>
    <mergeCell ref="A30:H30"/>
    <mergeCell ref="A31:H31"/>
    <mergeCell ref="A32:H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"/>
  <sheetViews>
    <sheetView showFormulas="false" showGridLines="fals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I49" activeCellId="0" sqref="I4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75"/>
    <col collapsed="false" customWidth="true" hidden="false" outlineLevel="0" max="2" min="2" style="0" width="21.25"/>
    <col collapsed="false" customWidth="true" hidden="false" outlineLevel="0" max="3" min="3" style="0" width="35"/>
    <col collapsed="false" customWidth="true" hidden="false" outlineLevel="0" max="5" min="4" style="0" width="9.38"/>
    <col collapsed="false" customWidth="true" hidden="false" outlineLevel="0" max="6" min="6" style="0" width="27.5"/>
    <col collapsed="false" customWidth="true" hidden="false" outlineLevel="0" max="7" min="7" style="0" width="13.13"/>
    <col collapsed="false" customWidth="true" hidden="false" outlineLevel="0" max="8" min="8" style="0" width="13.76"/>
    <col collapsed="false" customWidth="true" hidden="false" outlineLevel="0" max="9" min="9" style="0" width="41.25"/>
    <col collapsed="false" customWidth="true" hidden="false" outlineLevel="0" max="15" min="10" style="0" width="13.13"/>
    <col collapsed="false" customWidth="true" hidden="false" outlineLevel="0" max="16" min="16" style="0" width="20.03"/>
    <col collapsed="false" customWidth="true" hidden="false" outlineLevel="0" max="17" min="17" style="0" width="20.72"/>
    <col collapsed="false" customWidth="true" hidden="false" outlineLevel="0" max="18" min="18" style="0" width="26.84"/>
    <col collapsed="false" customWidth="true" hidden="false" outlineLevel="0" max="19" min="19" style="0" width="22.81"/>
    <col collapsed="false" customWidth="true" hidden="false" outlineLevel="0" max="20" min="20" style="0" width="22.67"/>
    <col collapsed="false" customWidth="true" hidden="false" outlineLevel="0" max="25" min="21" style="0" width="13.13"/>
    <col collapsed="false" customWidth="true" hidden="false" outlineLevel="0" max="26" min="26" style="0" width="14.74"/>
    <col collapsed="false" customWidth="true" hidden="false" outlineLevel="0" max="27" min="27" style="0" width="17.94"/>
    <col collapsed="false" customWidth="true" hidden="false" outlineLevel="0" max="28" min="28" style="0" width="35"/>
  </cols>
  <sheetData>
    <row r="1" customFormat="false" ht="36.55" hidden="false" customHeight="true" outlineLevel="0" collapsed="false">
      <c r="A1" s="8" t="s">
        <v>19</v>
      </c>
      <c r="B1" s="8" t="s">
        <v>54</v>
      </c>
      <c r="C1" s="8" t="s">
        <v>55</v>
      </c>
      <c r="D1" s="8" t="s">
        <v>56</v>
      </c>
      <c r="E1" s="8" t="s">
        <v>57</v>
      </c>
      <c r="F1" s="8" t="s">
        <v>21</v>
      </c>
      <c r="G1" s="8" t="s">
        <v>22</v>
      </c>
      <c r="H1" s="8" t="s">
        <v>58</v>
      </c>
      <c r="I1" s="8" t="s">
        <v>59</v>
      </c>
      <c r="J1" s="8" t="s">
        <v>60</v>
      </c>
      <c r="K1" s="8" t="s">
        <v>61</v>
      </c>
      <c r="L1" s="8" t="s">
        <v>62</v>
      </c>
      <c r="M1" s="8" t="s">
        <v>63</v>
      </c>
      <c r="N1" s="8" t="s">
        <v>64</v>
      </c>
      <c r="O1" s="8" t="s">
        <v>65</v>
      </c>
      <c r="P1" s="8" t="s">
        <v>66</v>
      </c>
      <c r="Q1" s="8" t="s">
        <v>67</v>
      </c>
      <c r="R1" s="8" t="s">
        <v>68</v>
      </c>
      <c r="S1" s="8" t="s">
        <v>69</v>
      </c>
      <c r="T1" s="8" t="s">
        <v>70</v>
      </c>
      <c r="U1" s="8" t="s">
        <v>71</v>
      </c>
      <c r="V1" s="8" t="s">
        <v>72</v>
      </c>
      <c r="W1" s="8" t="s">
        <v>73</v>
      </c>
      <c r="X1" s="8" t="s">
        <v>74</v>
      </c>
      <c r="Y1" s="8" t="s">
        <v>24</v>
      </c>
      <c r="Z1" s="8" t="s">
        <v>25</v>
      </c>
      <c r="AA1" s="8" t="s">
        <v>23</v>
      </c>
      <c r="AB1" s="8" t="s">
        <v>47</v>
      </c>
    </row>
    <row r="2" customFormat="false" ht="15" hidden="false" customHeight="false" outlineLevel="0" collapsed="false">
      <c r="A2" s="9" t="n">
        <v>163</v>
      </c>
      <c r="B2" s="9" t="s">
        <v>75</v>
      </c>
      <c r="C2" s="9" t="s">
        <v>76</v>
      </c>
      <c r="D2" s="9" t="n">
        <v>185</v>
      </c>
      <c r="E2" s="9" t="n">
        <v>4.4</v>
      </c>
      <c r="F2" s="9" t="s">
        <v>77</v>
      </c>
      <c r="G2" s="9" t="s">
        <v>78</v>
      </c>
      <c r="H2" s="9" t="s">
        <v>79</v>
      </c>
      <c r="I2" s="9" t="s">
        <v>80</v>
      </c>
      <c r="J2" s="10" t="n">
        <v>15555</v>
      </c>
      <c r="K2" s="10" t="n">
        <v>10864</v>
      </c>
      <c r="L2" s="10" t="n">
        <v>9202</v>
      </c>
      <c r="M2" s="10" t="s">
        <v>81</v>
      </c>
      <c r="N2" s="10" t="s">
        <v>81</v>
      </c>
      <c r="O2" s="10" t="s">
        <v>81</v>
      </c>
      <c r="P2" s="10" t="n">
        <v>460</v>
      </c>
      <c r="Q2" s="10" t="n">
        <v>471</v>
      </c>
      <c r="R2" s="10" t="n">
        <v>258</v>
      </c>
      <c r="S2" s="10" t="n">
        <v>0</v>
      </c>
      <c r="T2" s="10" t="n">
        <v>0</v>
      </c>
      <c r="U2" s="10" t="n">
        <v>0</v>
      </c>
      <c r="V2" s="9" t="s">
        <v>81</v>
      </c>
      <c r="W2" s="9" t="s">
        <v>81</v>
      </c>
      <c r="X2" s="9" t="s">
        <v>81</v>
      </c>
      <c r="Y2" s="10" t="n">
        <f aca="false">IF(COUNT(P2:R2)=0,"-",SUM(P2:R2))</f>
        <v>1189</v>
      </c>
      <c r="Z2" s="10" t="n">
        <f aca="false">IF(COUNT(S2:U2)=0,"-",SUM(S2:U2))</f>
        <v>0</v>
      </c>
      <c r="AA2" s="11" t="n">
        <f aca="false">IF(AND(ISNUMBER(Y2),Y2&gt;0),((Y2-N(Z2))/Y2)*100,"-")</f>
        <v>100</v>
      </c>
      <c r="AB2" s="9" t="s">
        <v>82</v>
      </c>
    </row>
    <row r="3" customFormat="false" ht="15" hidden="false" customHeight="false" outlineLevel="0" collapsed="false">
      <c r="A3" s="9" t="n">
        <v>165</v>
      </c>
      <c r="B3" s="9" t="s">
        <v>27</v>
      </c>
      <c r="C3" s="9" t="s">
        <v>83</v>
      </c>
      <c r="D3" s="9" t="n">
        <v>884</v>
      </c>
      <c r="E3" s="9" t="n">
        <v>4.5</v>
      </c>
      <c r="F3" s="9" t="s">
        <v>28</v>
      </c>
      <c r="G3" s="9" t="s">
        <v>29</v>
      </c>
      <c r="H3" s="9" t="s">
        <v>84</v>
      </c>
      <c r="I3" s="9" t="s">
        <v>85</v>
      </c>
      <c r="J3" s="10" t="n">
        <v>155745210</v>
      </c>
      <c r="K3" s="10" t="n">
        <v>187357965</v>
      </c>
      <c r="L3" s="10" t="n">
        <v>218572895</v>
      </c>
      <c r="M3" s="10" t="n">
        <v>27475435</v>
      </c>
      <c r="N3" s="10" t="n">
        <v>35440526</v>
      </c>
      <c r="O3" s="10" t="n">
        <v>37855764</v>
      </c>
      <c r="P3" s="10" t="n">
        <v>14174325</v>
      </c>
      <c r="Q3" s="10" t="n">
        <v>16959735</v>
      </c>
      <c r="R3" s="10" t="n">
        <v>14405355</v>
      </c>
      <c r="S3" s="10" t="n">
        <v>0</v>
      </c>
      <c r="T3" s="10" t="n">
        <v>0</v>
      </c>
      <c r="U3" s="10" t="n">
        <v>0</v>
      </c>
      <c r="V3" s="9" t="s">
        <v>81</v>
      </c>
      <c r="W3" s="9" t="s">
        <v>81</v>
      </c>
      <c r="X3" s="9" t="s">
        <v>81</v>
      </c>
      <c r="Y3" s="10" t="n">
        <f aca="false">IF(COUNT(P3:R3)=0,"-",SUM(P3:R3))</f>
        <v>45539415</v>
      </c>
      <c r="Z3" s="10" t="n">
        <f aca="false">IF(COUNT(S3:U3)=0,"-",SUM(S3:U3))</f>
        <v>0</v>
      </c>
      <c r="AA3" s="11" t="n">
        <f aca="false">IF(AND(ISNUMBER(Y3),Y3&gt;0),((Y3-N(Z3))/Y3)*100,"-")</f>
        <v>100</v>
      </c>
      <c r="AB3" s="9" t="s">
        <v>86</v>
      </c>
    </row>
    <row r="4" customFormat="false" ht="15" hidden="false" customHeight="false" outlineLevel="0" collapsed="false">
      <c r="A4" s="9" t="n">
        <v>172</v>
      </c>
      <c r="B4" s="9" t="s">
        <v>27</v>
      </c>
      <c r="C4" s="9" t="s">
        <v>87</v>
      </c>
      <c r="D4" s="9" t="n">
        <v>362</v>
      </c>
      <c r="E4" s="9" t="n">
        <v>4.5</v>
      </c>
      <c r="F4" s="9" t="s">
        <v>28</v>
      </c>
      <c r="G4" s="9" t="s">
        <v>29</v>
      </c>
      <c r="H4" s="9" t="s">
        <v>84</v>
      </c>
      <c r="I4" s="9" t="s">
        <v>85</v>
      </c>
      <c r="J4" s="10" t="n">
        <v>155745210</v>
      </c>
      <c r="K4" s="10" t="n">
        <v>187357965</v>
      </c>
      <c r="L4" s="10" t="n">
        <v>218572895</v>
      </c>
      <c r="M4" s="10" t="n">
        <v>27475435</v>
      </c>
      <c r="N4" s="10" t="n">
        <v>35440526</v>
      </c>
      <c r="O4" s="10" t="n">
        <v>37855764</v>
      </c>
      <c r="P4" s="10" t="n">
        <v>14174325</v>
      </c>
      <c r="Q4" s="10" t="n">
        <v>16959735</v>
      </c>
      <c r="R4" s="10" t="n">
        <v>14405355</v>
      </c>
      <c r="S4" s="10" t="n">
        <v>0</v>
      </c>
      <c r="T4" s="10" t="n">
        <v>0</v>
      </c>
      <c r="U4" s="10" t="n">
        <v>0</v>
      </c>
      <c r="V4" s="9" t="s">
        <v>81</v>
      </c>
      <c r="W4" s="9" t="s">
        <v>81</v>
      </c>
      <c r="X4" s="9" t="s">
        <v>81</v>
      </c>
      <c r="Y4" s="10" t="n">
        <f aca="false">IF(COUNT(P4:R4)=0,"-",SUM(P4:R4))</f>
        <v>45539415</v>
      </c>
      <c r="Z4" s="10" t="n">
        <f aca="false">IF(COUNT(S4:U4)=0,"-",SUM(S4:U4))</f>
        <v>0</v>
      </c>
      <c r="AA4" s="11" t="n">
        <f aca="false">IF(AND(ISNUMBER(Y4),Y4&gt;0),((Y4-N(Z4))/Y4)*100,"-")</f>
        <v>100</v>
      </c>
      <c r="AB4" s="9" t="s">
        <v>86</v>
      </c>
    </row>
    <row r="5" customFormat="false" ht="15" hidden="false" customHeight="false" outlineLevel="0" collapsed="false">
      <c r="A5" s="9" t="n">
        <v>180</v>
      </c>
      <c r="B5" s="9" t="s">
        <v>88</v>
      </c>
      <c r="C5" s="9" t="s">
        <v>89</v>
      </c>
      <c r="D5" s="9" t="n">
        <v>0</v>
      </c>
      <c r="E5" s="9" t="n">
        <v>4.2</v>
      </c>
      <c r="F5" s="9" t="s">
        <v>90</v>
      </c>
      <c r="G5" s="9" t="s">
        <v>91</v>
      </c>
      <c r="H5" s="9" t="s">
        <v>92</v>
      </c>
      <c r="I5" s="9" t="s">
        <v>80</v>
      </c>
      <c r="J5" s="10" t="n">
        <v>2616</v>
      </c>
      <c r="K5" s="10" t="n">
        <v>4354</v>
      </c>
      <c r="L5" s="10" t="n">
        <v>3992</v>
      </c>
      <c r="M5" s="10" t="s">
        <v>81</v>
      </c>
      <c r="N5" s="10" t="s">
        <v>81</v>
      </c>
      <c r="O5" s="10" t="s">
        <v>81</v>
      </c>
      <c r="P5" s="10" t="n">
        <v>0</v>
      </c>
      <c r="Q5" s="10" t="n">
        <v>1687</v>
      </c>
      <c r="R5" s="10" t="n">
        <v>823</v>
      </c>
      <c r="S5" s="10" t="n">
        <v>101</v>
      </c>
      <c r="T5" s="10" t="n">
        <v>0</v>
      </c>
      <c r="U5" s="10" t="n">
        <v>0</v>
      </c>
      <c r="V5" s="9" t="s">
        <v>81</v>
      </c>
      <c r="W5" s="9" t="s">
        <v>81</v>
      </c>
      <c r="X5" s="9" t="s">
        <v>81</v>
      </c>
      <c r="Y5" s="10" t="n">
        <f aca="false">IF(COUNT(P5:R5)=0,"-",SUM(P5:R5))</f>
        <v>2510</v>
      </c>
      <c r="Z5" s="10" t="n">
        <f aca="false">IF(COUNT(S5:U5)=0,"-",SUM(S5:U5))</f>
        <v>101</v>
      </c>
      <c r="AA5" s="11" t="n">
        <f aca="false">IF(AND(ISNUMBER(Y5),Y5&gt;0),((Y5-N(Z5))/Y5)*100,"-")</f>
        <v>95.9760956175299</v>
      </c>
      <c r="AB5" s="9" t="s">
        <v>82</v>
      </c>
    </row>
    <row r="6" customFormat="false" ht="15" hidden="false" customHeight="false" outlineLevel="0" collapsed="false">
      <c r="A6" s="9" t="n">
        <v>183</v>
      </c>
      <c r="B6" s="9" t="s">
        <v>93</v>
      </c>
      <c r="C6" s="9" t="s">
        <v>94</v>
      </c>
      <c r="D6" s="9" t="n">
        <v>223</v>
      </c>
      <c r="E6" s="9" t="n">
        <v>4.4</v>
      </c>
      <c r="F6" s="9" t="s">
        <v>95</v>
      </c>
      <c r="G6" s="9" t="s">
        <v>96</v>
      </c>
      <c r="H6" s="9" t="s">
        <v>92</v>
      </c>
      <c r="I6" s="9" t="s">
        <v>80</v>
      </c>
      <c r="J6" s="10" t="n">
        <v>85124</v>
      </c>
      <c r="K6" s="10" t="n">
        <v>48614</v>
      </c>
      <c r="L6" s="10" t="n">
        <v>6</v>
      </c>
      <c r="M6" s="10" t="s">
        <v>81</v>
      </c>
      <c r="N6" s="10" t="s">
        <v>81</v>
      </c>
      <c r="O6" s="10" t="s">
        <v>81</v>
      </c>
      <c r="P6" s="10" t="n">
        <v>6566</v>
      </c>
      <c r="Q6" s="10" t="n">
        <v>10561</v>
      </c>
      <c r="R6" s="10" t="n">
        <v>0</v>
      </c>
      <c r="S6" s="10" t="n">
        <v>0</v>
      </c>
      <c r="T6" s="10" t="n">
        <v>0</v>
      </c>
      <c r="U6" s="10" t="n">
        <v>4797</v>
      </c>
      <c r="V6" s="9" t="s">
        <v>81</v>
      </c>
      <c r="W6" s="9" t="s">
        <v>81</v>
      </c>
      <c r="X6" s="9" t="s">
        <v>81</v>
      </c>
      <c r="Y6" s="10" t="n">
        <f aca="false">IF(COUNT(P6:R6)=0,"-",SUM(P6:R6))</f>
        <v>17127</v>
      </c>
      <c r="Z6" s="10" t="n">
        <f aca="false">IF(COUNT(S6:U6)=0,"-",SUM(S6:U6))</f>
        <v>4797</v>
      </c>
      <c r="AA6" s="11" t="n">
        <f aca="false">IF(AND(ISNUMBER(Y6),Y6&gt;0),((Y6-N(Z6))/Y6)*100,"-")</f>
        <v>71.9915922228061</v>
      </c>
      <c r="AB6" s="9" t="s">
        <v>82</v>
      </c>
    </row>
    <row r="7" customFormat="false" ht="15" hidden="false" customHeight="false" outlineLevel="0" collapsed="false">
      <c r="A7" s="9" t="n">
        <v>184</v>
      </c>
      <c r="B7" s="9" t="s">
        <v>97</v>
      </c>
      <c r="C7" s="9" t="s">
        <v>98</v>
      </c>
      <c r="D7" s="9" t="n">
        <v>2225</v>
      </c>
      <c r="E7" s="9" t="n">
        <v>4.5</v>
      </c>
      <c r="F7" s="9" t="s">
        <v>99</v>
      </c>
      <c r="G7" s="9" t="s">
        <v>100</v>
      </c>
      <c r="H7" s="9" t="s">
        <v>92</v>
      </c>
      <c r="I7" s="9" t="s">
        <v>101</v>
      </c>
      <c r="J7" s="10" t="n">
        <v>74455646</v>
      </c>
      <c r="K7" s="10" t="n">
        <v>90264478</v>
      </c>
      <c r="L7" s="10" t="n">
        <v>103954806</v>
      </c>
      <c r="M7" s="10" t="n">
        <v>15131005</v>
      </c>
      <c r="N7" s="10" t="n">
        <v>17291096</v>
      </c>
      <c r="O7" s="10" t="n">
        <v>17849571</v>
      </c>
      <c r="P7" s="10" t="n">
        <v>1799543</v>
      </c>
      <c r="Q7" s="10" t="n">
        <v>1634622</v>
      </c>
      <c r="R7" s="10" t="n">
        <v>637589</v>
      </c>
      <c r="S7" s="10" t="n">
        <v>0</v>
      </c>
      <c r="T7" s="10" t="n">
        <v>0</v>
      </c>
      <c r="U7" s="10" t="n">
        <v>0</v>
      </c>
      <c r="V7" s="9" t="s">
        <v>81</v>
      </c>
      <c r="W7" s="9" t="s">
        <v>81</v>
      </c>
      <c r="X7" s="9" t="s">
        <v>81</v>
      </c>
      <c r="Y7" s="10" t="n">
        <f aca="false">IF(COUNT(P7:R7)=0,"-",SUM(P7:R7))</f>
        <v>4071754</v>
      </c>
      <c r="Z7" s="10" t="n">
        <f aca="false">IF(COUNT(S7:U7)=0,"-",SUM(S7:U7))</f>
        <v>0</v>
      </c>
      <c r="AA7" s="11" t="n">
        <f aca="false">IF(AND(ISNUMBER(Y7),Y7&gt;0),((Y7-N(Z7))/Y7)*100,"-")</f>
        <v>100</v>
      </c>
      <c r="AB7" s="9" t="s">
        <v>86</v>
      </c>
    </row>
    <row r="8" customFormat="false" ht="15" hidden="false" customHeight="false" outlineLevel="0" collapsed="false">
      <c r="A8" s="9" t="n">
        <v>185</v>
      </c>
      <c r="B8" s="9" t="s">
        <v>102</v>
      </c>
      <c r="C8" s="9" t="s">
        <v>103</v>
      </c>
      <c r="D8" s="9" t="n">
        <v>501</v>
      </c>
      <c r="E8" s="9" t="n">
        <v>4.2</v>
      </c>
      <c r="F8" s="9" t="s">
        <v>104</v>
      </c>
      <c r="G8" s="9" t="s">
        <v>105</v>
      </c>
      <c r="H8" s="9" t="s">
        <v>79</v>
      </c>
      <c r="I8" s="9" t="s">
        <v>106</v>
      </c>
      <c r="J8" s="10" t="n">
        <v>75067</v>
      </c>
      <c r="K8" s="10" t="n">
        <v>156359</v>
      </c>
      <c r="L8" s="10" t="n">
        <v>117703</v>
      </c>
      <c r="M8" s="10" t="s">
        <v>81</v>
      </c>
      <c r="N8" s="10" t="s">
        <v>81</v>
      </c>
      <c r="O8" s="10" t="s">
        <v>81</v>
      </c>
      <c r="P8" s="10" t="n">
        <v>0</v>
      </c>
      <c r="Q8" s="10" t="n">
        <v>49593</v>
      </c>
      <c r="R8" s="10" t="n">
        <v>19567</v>
      </c>
      <c r="S8" s="10" t="n">
        <v>13678</v>
      </c>
      <c r="T8" s="10" t="n">
        <v>0</v>
      </c>
      <c r="U8" s="10" t="n">
        <v>0</v>
      </c>
      <c r="V8" s="9" t="s">
        <v>81</v>
      </c>
      <c r="W8" s="9" t="s">
        <v>81</v>
      </c>
      <c r="X8" s="9" t="s">
        <v>81</v>
      </c>
      <c r="Y8" s="10" t="n">
        <f aca="false">IF(COUNT(P8:R8)=0,"-",SUM(P8:R8))</f>
        <v>69160</v>
      </c>
      <c r="Z8" s="10" t="n">
        <f aca="false">IF(COUNT(S8:U8)=0,"-",SUM(S8:U8))</f>
        <v>13678</v>
      </c>
      <c r="AA8" s="11" t="n">
        <f aca="false">IF(AND(ISNUMBER(Y8),Y8&gt;0),((Y8-N(Z8))/Y8)*100,"-")</f>
        <v>80.2226720647773</v>
      </c>
      <c r="AB8" s="9" t="s">
        <v>82</v>
      </c>
    </row>
    <row r="9" customFormat="false" ht="15" hidden="false" customHeight="false" outlineLevel="0" collapsed="false">
      <c r="A9" s="9" t="n">
        <v>186</v>
      </c>
      <c r="B9" s="9" t="s">
        <v>93</v>
      </c>
      <c r="C9" s="9" t="s">
        <v>107</v>
      </c>
      <c r="D9" s="9" t="n">
        <v>7</v>
      </c>
      <c r="E9" s="9" t="n">
        <v>4.1</v>
      </c>
      <c r="F9" s="9" t="s">
        <v>95</v>
      </c>
      <c r="G9" s="9" t="s">
        <v>96</v>
      </c>
      <c r="H9" s="9" t="s">
        <v>92</v>
      </c>
      <c r="I9" s="9" t="s">
        <v>80</v>
      </c>
      <c r="J9" s="10" t="n">
        <v>85124</v>
      </c>
      <c r="K9" s="10" t="n">
        <v>48614</v>
      </c>
      <c r="L9" s="10" t="n">
        <v>6</v>
      </c>
      <c r="M9" s="10" t="s">
        <v>81</v>
      </c>
      <c r="N9" s="10" t="s">
        <v>81</v>
      </c>
      <c r="O9" s="10" t="s">
        <v>81</v>
      </c>
      <c r="P9" s="10" t="n">
        <v>6566</v>
      </c>
      <c r="Q9" s="10" t="n">
        <v>10561</v>
      </c>
      <c r="R9" s="10" t="n">
        <v>0</v>
      </c>
      <c r="S9" s="10" t="n">
        <v>0</v>
      </c>
      <c r="T9" s="10" t="n">
        <v>0</v>
      </c>
      <c r="U9" s="10" t="n">
        <v>4797</v>
      </c>
      <c r="V9" s="9" t="s">
        <v>81</v>
      </c>
      <c r="W9" s="9" t="s">
        <v>81</v>
      </c>
      <c r="X9" s="9" t="s">
        <v>81</v>
      </c>
      <c r="Y9" s="10" t="n">
        <f aca="false">IF(COUNT(P9:R9)=0,"-",SUM(P9:R9))</f>
        <v>17127</v>
      </c>
      <c r="Z9" s="10" t="n">
        <f aca="false">IF(COUNT(S9:U9)=0,"-",SUM(S9:U9))</f>
        <v>4797</v>
      </c>
      <c r="AA9" s="11" t="n">
        <f aca="false">IF(AND(ISNUMBER(Y9),Y9&gt;0),((Y9-N(Z9))/Y9)*100,"-")</f>
        <v>71.9915922228061</v>
      </c>
      <c r="AB9" s="9" t="s">
        <v>82</v>
      </c>
    </row>
    <row r="10" customFormat="false" ht="15" hidden="false" customHeight="false" outlineLevel="0" collapsed="false">
      <c r="A10" s="9" t="n">
        <v>187</v>
      </c>
      <c r="B10" s="9" t="s">
        <v>27</v>
      </c>
      <c r="C10" s="9" t="s">
        <v>108</v>
      </c>
      <c r="D10" s="9" t="n">
        <v>1580</v>
      </c>
      <c r="E10" s="9" t="n">
        <v>4.4</v>
      </c>
      <c r="F10" s="9" t="s">
        <v>28</v>
      </c>
      <c r="G10" s="9" t="s">
        <v>29</v>
      </c>
      <c r="H10" s="9" t="s">
        <v>84</v>
      </c>
      <c r="I10" s="9" t="s">
        <v>85</v>
      </c>
      <c r="J10" s="10" t="n">
        <v>155745210</v>
      </c>
      <c r="K10" s="10" t="n">
        <v>187357965</v>
      </c>
      <c r="L10" s="10" t="n">
        <v>218572895</v>
      </c>
      <c r="M10" s="10" t="n">
        <v>27475435</v>
      </c>
      <c r="N10" s="10" t="n">
        <v>35440526</v>
      </c>
      <c r="O10" s="10" t="n">
        <v>37855764</v>
      </c>
      <c r="P10" s="10" t="n">
        <v>14174325</v>
      </c>
      <c r="Q10" s="10" t="n">
        <v>16959735</v>
      </c>
      <c r="R10" s="10" t="n">
        <v>14405355</v>
      </c>
      <c r="S10" s="10" t="n">
        <v>0</v>
      </c>
      <c r="T10" s="10" t="n">
        <v>0</v>
      </c>
      <c r="U10" s="10" t="n">
        <v>0</v>
      </c>
      <c r="V10" s="9" t="s">
        <v>81</v>
      </c>
      <c r="W10" s="9" t="s">
        <v>81</v>
      </c>
      <c r="X10" s="9" t="s">
        <v>81</v>
      </c>
      <c r="Y10" s="10" t="n">
        <f aca="false">IF(COUNT(P10:R10)=0,"-",SUM(P10:R10))</f>
        <v>45539415</v>
      </c>
      <c r="Z10" s="10" t="n">
        <f aca="false">IF(COUNT(S10:U10)=0,"-",SUM(S10:U10))</f>
        <v>0</v>
      </c>
      <c r="AA10" s="11" t="n">
        <f aca="false">IF(AND(ISNUMBER(Y10),Y10&gt;0),((Y10-N(Z10))/Y10)*100,"-")</f>
        <v>100</v>
      </c>
      <c r="AB10" s="9" t="s">
        <v>86</v>
      </c>
    </row>
    <row r="11" customFormat="false" ht="15" hidden="false" customHeight="false" outlineLevel="0" collapsed="false">
      <c r="A11" s="9" t="n">
        <v>188</v>
      </c>
      <c r="B11" s="9" t="s">
        <v>34</v>
      </c>
      <c r="C11" s="9" t="s">
        <v>109</v>
      </c>
      <c r="D11" s="9" t="n">
        <v>1429</v>
      </c>
      <c r="E11" s="9" t="n">
        <v>4.4</v>
      </c>
      <c r="F11" s="9" t="s">
        <v>35</v>
      </c>
      <c r="G11" s="9" t="s">
        <v>36</v>
      </c>
      <c r="H11" s="9" t="s">
        <v>92</v>
      </c>
      <c r="I11" s="9" t="s">
        <v>110</v>
      </c>
      <c r="J11" s="10" t="s">
        <v>81</v>
      </c>
      <c r="K11" s="10" t="n">
        <v>106727</v>
      </c>
      <c r="L11" s="10" t="n">
        <v>209579</v>
      </c>
      <c r="M11" s="10" t="s">
        <v>81</v>
      </c>
      <c r="N11" s="10" t="s">
        <v>81</v>
      </c>
      <c r="O11" s="10" t="s">
        <v>81</v>
      </c>
      <c r="P11" s="10" t="s">
        <v>81</v>
      </c>
      <c r="Q11" s="10" t="n">
        <v>485</v>
      </c>
      <c r="R11" s="10" t="n">
        <v>116</v>
      </c>
      <c r="S11" s="10" t="s">
        <v>81</v>
      </c>
      <c r="T11" s="10" t="n">
        <v>0</v>
      </c>
      <c r="U11" s="10" t="n">
        <v>0</v>
      </c>
      <c r="V11" s="9" t="s">
        <v>81</v>
      </c>
      <c r="W11" s="9" t="s">
        <v>81</v>
      </c>
      <c r="X11" s="9" t="s">
        <v>81</v>
      </c>
      <c r="Y11" s="10" t="n">
        <f aca="false">IF(COUNT(P11:R11)=0,"-",SUM(P11:R11))</f>
        <v>601</v>
      </c>
      <c r="Z11" s="10" t="n">
        <f aca="false">IF(COUNT(S11:U11)=0,"-",SUM(S11:U11))</f>
        <v>0</v>
      </c>
      <c r="AA11" s="11" t="n">
        <f aca="false">IF(AND(ISNUMBER(Y11),Y11&gt;0),((Y11-N(Z11))/Y11)*100,"-")</f>
        <v>100</v>
      </c>
      <c r="AB11" s="9" t="s">
        <v>111</v>
      </c>
    </row>
    <row r="12" customFormat="false" ht="15" hidden="false" customHeight="false" outlineLevel="0" collapsed="false">
      <c r="A12" s="9" t="n">
        <v>193</v>
      </c>
      <c r="B12" s="9" t="s">
        <v>112</v>
      </c>
      <c r="C12" s="9" t="s">
        <v>113</v>
      </c>
      <c r="D12" s="9" t="n">
        <v>170</v>
      </c>
      <c r="E12" s="9" t="n">
        <v>4.4</v>
      </c>
      <c r="F12" s="9" t="s">
        <v>114</v>
      </c>
      <c r="G12" s="9" t="s">
        <v>115</v>
      </c>
      <c r="H12" s="9" t="s">
        <v>92</v>
      </c>
      <c r="I12" s="9" t="s">
        <v>116</v>
      </c>
      <c r="J12" s="10" t="n">
        <v>158039</v>
      </c>
      <c r="K12" s="10" t="n">
        <v>173572</v>
      </c>
      <c r="L12" s="10" t="n">
        <v>166280</v>
      </c>
      <c r="M12" s="10" t="n">
        <v>144977</v>
      </c>
      <c r="N12" s="10" t="n">
        <v>173572</v>
      </c>
      <c r="O12" s="10" t="n">
        <v>166280</v>
      </c>
      <c r="P12" s="10" t="n">
        <v>26406</v>
      </c>
      <c r="Q12" s="10" t="n">
        <v>16663</v>
      </c>
      <c r="R12" s="10" t="n">
        <v>7125</v>
      </c>
      <c r="S12" s="10" t="n">
        <v>0</v>
      </c>
      <c r="T12" s="10" t="n">
        <v>0</v>
      </c>
      <c r="U12" s="10" t="n">
        <v>0</v>
      </c>
      <c r="V12" s="9" t="s">
        <v>81</v>
      </c>
      <c r="W12" s="9" t="s">
        <v>81</v>
      </c>
      <c r="X12" s="9" t="s">
        <v>81</v>
      </c>
      <c r="Y12" s="10" t="n">
        <f aca="false">IF(COUNT(P12:R12)=0,"-",SUM(P12:R12))</f>
        <v>50194</v>
      </c>
      <c r="Z12" s="10" t="n">
        <f aca="false">IF(COUNT(S12:U12)=0,"-",SUM(S12:U12))</f>
        <v>0</v>
      </c>
      <c r="AA12" s="11" t="n">
        <f aca="false">IF(AND(ISNUMBER(Y12),Y12&gt;0),((Y12-N(Z12))/Y12)*100,"-")</f>
        <v>100</v>
      </c>
      <c r="AB12" s="9" t="s">
        <v>86</v>
      </c>
    </row>
    <row r="13" customFormat="false" ht="15" hidden="false" customHeight="false" outlineLevel="0" collapsed="false">
      <c r="A13" s="9" t="n">
        <v>194</v>
      </c>
      <c r="B13" s="9" t="s">
        <v>117</v>
      </c>
      <c r="C13" s="9" t="s">
        <v>118</v>
      </c>
      <c r="D13" s="9" t="n">
        <v>32</v>
      </c>
      <c r="E13" s="9" t="n">
        <v>4.3</v>
      </c>
      <c r="F13" s="9" t="s">
        <v>119</v>
      </c>
      <c r="G13" s="9" t="s">
        <v>120</v>
      </c>
      <c r="H13" s="9" t="s">
        <v>92</v>
      </c>
      <c r="I13" s="9" t="s">
        <v>80</v>
      </c>
      <c r="J13" s="10" t="n">
        <v>24947</v>
      </c>
      <c r="K13" s="10" t="n">
        <v>135922</v>
      </c>
      <c r="L13" s="10" t="n">
        <v>140444</v>
      </c>
      <c r="M13" s="10" t="s">
        <v>81</v>
      </c>
      <c r="N13" s="10" t="s">
        <v>81</v>
      </c>
      <c r="O13" s="10" t="s">
        <v>81</v>
      </c>
      <c r="P13" s="10" t="n">
        <v>0</v>
      </c>
      <c r="Q13" s="10" t="n">
        <v>6636</v>
      </c>
      <c r="R13" s="10" t="n">
        <v>737</v>
      </c>
      <c r="S13" s="10" t="n">
        <v>6176</v>
      </c>
      <c r="T13" s="10" t="n">
        <v>0</v>
      </c>
      <c r="U13" s="10" t="n">
        <v>0</v>
      </c>
      <c r="V13" s="9" t="s">
        <v>81</v>
      </c>
      <c r="W13" s="9" t="s">
        <v>81</v>
      </c>
      <c r="X13" s="9" t="s">
        <v>81</v>
      </c>
      <c r="Y13" s="10" t="n">
        <f aca="false">IF(COUNT(P13:R13)=0,"-",SUM(P13:R13))</f>
        <v>7373</v>
      </c>
      <c r="Z13" s="10" t="n">
        <f aca="false">IF(COUNT(S13:U13)=0,"-",SUM(S13:U13))</f>
        <v>6176</v>
      </c>
      <c r="AA13" s="11" t="n">
        <f aca="false">IF(AND(ISNUMBER(Y13),Y13&gt;0),((Y13-N(Z13))/Y13)*100,"-")</f>
        <v>16.2349111623491</v>
      </c>
      <c r="AB13" s="9" t="s">
        <v>82</v>
      </c>
    </row>
    <row r="14" customFormat="false" ht="15" hidden="false" customHeight="false" outlineLevel="0" collapsed="false">
      <c r="A14" s="9" t="n">
        <v>198</v>
      </c>
      <c r="B14" s="9" t="s">
        <v>30</v>
      </c>
      <c r="C14" s="9" t="s">
        <v>121</v>
      </c>
      <c r="D14" s="9" t="n">
        <v>258</v>
      </c>
      <c r="E14" s="9" t="n">
        <v>4.1</v>
      </c>
      <c r="F14" s="9" t="s">
        <v>31</v>
      </c>
      <c r="G14" s="9" t="s">
        <v>32</v>
      </c>
      <c r="H14" s="9" t="s">
        <v>92</v>
      </c>
      <c r="I14" s="9" t="s">
        <v>122</v>
      </c>
      <c r="J14" s="10" t="n">
        <v>20168953</v>
      </c>
      <c r="K14" s="10" t="n">
        <v>25930672</v>
      </c>
      <c r="L14" s="10" t="n">
        <v>30813210</v>
      </c>
      <c r="M14" s="10" t="n">
        <v>14955521</v>
      </c>
      <c r="N14" s="10" t="n">
        <v>20142693</v>
      </c>
      <c r="O14" s="10" t="n">
        <v>24240245</v>
      </c>
      <c r="P14" s="10" t="n">
        <v>3539841</v>
      </c>
      <c r="Q14" s="10" t="n">
        <v>5678938</v>
      </c>
      <c r="R14" s="10" t="n">
        <v>4115411</v>
      </c>
      <c r="S14" s="10" t="n">
        <v>0</v>
      </c>
      <c r="T14" s="10" t="n">
        <v>0</v>
      </c>
      <c r="U14" s="10" t="n">
        <v>0</v>
      </c>
      <c r="V14" s="9" t="s">
        <v>81</v>
      </c>
      <c r="W14" s="9" t="s">
        <v>81</v>
      </c>
      <c r="X14" s="9" t="s">
        <v>81</v>
      </c>
      <c r="Y14" s="10" t="n">
        <f aca="false">IF(COUNT(P14:R14)=0,"-",SUM(P14:R14))</f>
        <v>13334190</v>
      </c>
      <c r="Z14" s="10" t="n">
        <f aca="false">IF(COUNT(S14:U14)=0,"-",SUM(S14:U14))</f>
        <v>0</v>
      </c>
      <c r="AA14" s="11" t="n">
        <f aca="false">IF(AND(ISNUMBER(Y14),Y14&gt;0),((Y14-N(Z14))/Y14)*100,"-")</f>
        <v>100</v>
      </c>
      <c r="AB14" s="9" t="s">
        <v>86</v>
      </c>
    </row>
    <row r="15" customFormat="false" ht="15" hidden="false" customHeight="false" outlineLevel="0" collapsed="false">
      <c r="A15" s="9" t="n">
        <v>204</v>
      </c>
      <c r="B15" s="9" t="s">
        <v>123</v>
      </c>
      <c r="C15" s="9" t="s">
        <v>124</v>
      </c>
      <c r="D15" s="9" t="n">
        <v>7</v>
      </c>
      <c r="E15" s="9" t="n">
        <v>4</v>
      </c>
      <c r="F15" s="9" t="s">
        <v>125</v>
      </c>
      <c r="G15" s="9" t="s">
        <v>126</v>
      </c>
      <c r="H15" s="9" t="s">
        <v>92</v>
      </c>
      <c r="I15" s="9" t="s">
        <v>80</v>
      </c>
      <c r="J15" s="10" t="n">
        <v>22401</v>
      </c>
      <c r="K15" s="10" t="n">
        <v>9774</v>
      </c>
      <c r="L15" s="10" t="s">
        <v>81</v>
      </c>
      <c r="M15" s="10" t="s">
        <v>81</v>
      </c>
      <c r="N15" s="10" t="s">
        <v>81</v>
      </c>
      <c r="O15" s="10" t="s">
        <v>81</v>
      </c>
      <c r="P15" s="10" t="n">
        <v>600</v>
      </c>
      <c r="Q15" s="10" t="n">
        <v>481</v>
      </c>
      <c r="R15" s="10" t="s">
        <v>81</v>
      </c>
      <c r="S15" s="10" t="n">
        <v>0</v>
      </c>
      <c r="T15" s="10" t="n">
        <v>0</v>
      </c>
      <c r="U15" s="10" t="s">
        <v>81</v>
      </c>
      <c r="V15" s="9" t="s">
        <v>81</v>
      </c>
      <c r="W15" s="9" t="s">
        <v>81</v>
      </c>
      <c r="X15" s="9" t="s">
        <v>81</v>
      </c>
      <c r="Y15" s="10" t="n">
        <f aca="false">IF(COUNT(P15:R15)=0,"-",SUM(P15:R15))</f>
        <v>1081</v>
      </c>
      <c r="Z15" s="10" t="n">
        <f aca="false">IF(COUNT(S15:U15)=0,"-",SUM(S15:U15))</f>
        <v>0</v>
      </c>
      <c r="AA15" s="11" t="n">
        <f aca="false">IF(AND(ISNUMBER(Y15),Y15&gt;0),((Y15-N(Z15))/Y15)*100,"-")</f>
        <v>100</v>
      </c>
      <c r="AB15" s="9" t="s">
        <v>111</v>
      </c>
    </row>
    <row r="16" customFormat="false" ht="15" hidden="false" customHeight="false" outlineLevel="0" collapsed="false">
      <c r="A16" s="9" t="n">
        <v>208</v>
      </c>
      <c r="B16" s="9" t="s">
        <v>127</v>
      </c>
      <c r="C16" s="9" t="s">
        <v>128</v>
      </c>
      <c r="D16" s="9" t="n">
        <v>19</v>
      </c>
      <c r="E16" s="9" t="n">
        <v>4.4</v>
      </c>
      <c r="F16" s="9" t="s">
        <v>129</v>
      </c>
      <c r="G16" s="9" t="s">
        <v>130</v>
      </c>
      <c r="H16" s="9" t="s">
        <v>92</v>
      </c>
      <c r="I16" s="9" t="s">
        <v>80</v>
      </c>
      <c r="J16" s="10" t="n">
        <v>18792</v>
      </c>
      <c r="K16" s="10" t="n">
        <v>20280</v>
      </c>
      <c r="L16" s="10" t="n">
        <v>19983</v>
      </c>
      <c r="M16" s="10" t="s">
        <v>81</v>
      </c>
      <c r="N16" s="10" t="s">
        <v>81</v>
      </c>
      <c r="O16" s="10" t="s">
        <v>81</v>
      </c>
      <c r="P16" s="10" t="n">
        <v>336</v>
      </c>
      <c r="Q16" s="10" t="n">
        <v>189</v>
      </c>
      <c r="R16" s="10" t="n">
        <v>490</v>
      </c>
      <c r="S16" s="10" t="n">
        <v>0</v>
      </c>
      <c r="T16" s="10" t="n">
        <v>0</v>
      </c>
      <c r="U16" s="10" t="n">
        <v>0</v>
      </c>
      <c r="V16" s="9" t="s">
        <v>81</v>
      </c>
      <c r="W16" s="9" t="s">
        <v>81</v>
      </c>
      <c r="X16" s="9" t="s">
        <v>81</v>
      </c>
      <c r="Y16" s="10" t="n">
        <f aca="false">IF(COUNT(P16:R16)=0,"-",SUM(P16:R16))</f>
        <v>1015</v>
      </c>
      <c r="Z16" s="10" t="n">
        <f aca="false">IF(COUNT(S16:U16)=0,"-",SUM(S16:U16))</f>
        <v>0</v>
      </c>
      <c r="AA16" s="11" t="n">
        <f aca="false">IF(AND(ISNUMBER(Y16),Y16&gt;0),((Y16-N(Z16))/Y16)*100,"-")</f>
        <v>100</v>
      </c>
      <c r="AB16" s="9" t="s">
        <v>82</v>
      </c>
    </row>
    <row r="17" customFormat="false" ht="15" hidden="false" customHeight="false" outlineLevel="0" collapsed="false">
      <c r="A17" s="9" t="n">
        <v>209</v>
      </c>
      <c r="B17" s="9" t="s">
        <v>131</v>
      </c>
      <c r="C17" s="9" t="s">
        <v>128</v>
      </c>
      <c r="D17" s="9" t="n">
        <v>15</v>
      </c>
      <c r="E17" s="9" t="n">
        <v>4.5</v>
      </c>
      <c r="F17" s="9" t="s">
        <v>132</v>
      </c>
      <c r="G17" s="9" t="s">
        <v>133</v>
      </c>
      <c r="H17" s="9" t="s">
        <v>79</v>
      </c>
      <c r="I17" s="9" t="s">
        <v>80</v>
      </c>
      <c r="J17" s="10" t="s">
        <v>81</v>
      </c>
      <c r="K17" s="10" t="n">
        <v>14477</v>
      </c>
      <c r="L17" s="10" t="n">
        <v>30944</v>
      </c>
      <c r="M17" s="10" t="s">
        <v>81</v>
      </c>
      <c r="N17" s="10" t="s">
        <v>81</v>
      </c>
      <c r="O17" s="10" t="s">
        <v>81</v>
      </c>
      <c r="P17" s="10" t="s">
        <v>81</v>
      </c>
      <c r="Q17" s="10" t="n">
        <v>506</v>
      </c>
      <c r="R17" s="10" t="n">
        <v>5156</v>
      </c>
      <c r="S17" s="10" t="s">
        <v>81</v>
      </c>
      <c r="T17" s="10" t="n">
        <v>0</v>
      </c>
      <c r="U17" s="10" t="n">
        <v>0</v>
      </c>
      <c r="V17" s="9" t="s">
        <v>81</v>
      </c>
      <c r="W17" s="9" t="s">
        <v>81</v>
      </c>
      <c r="X17" s="9" t="s">
        <v>81</v>
      </c>
      <c r="Y17" s="10" t="n">
        <f aca="false">IF(COUNT(P17:R17)=0,"-",SUM(P17:R17))</f>
        <v>5662</v>
      </c>
      <c r="Z17" s="10" t="n">
        <f aca="false">IF(COUNT(S17:U17)=0,"-",SUM(S17:U17))</f>
        <v>0</v>
      </c>
      <c r="AA17" s="11" t="n">
        <f aca="false">IF(AND(ISNUMBER(Y17),Y17&gt;0),((Y17-N(Z17))/Y17)*100,"-")</f>
        <v>100</v>
      </c>
      <c r="AB17" s="9" t="s">
        <v>111</v>
      </c>
    </row>
    <row r="18" customFormat="false" ht="15" hidden="false" customHeight="false" outlineLevel="0" collapsed="false">
      <c r="A18" s="9" t="n">
        <v>214</v>
      </c>
      <c r="B18" s="9" t="s">
        <v>134</v>
      </c>
      <c r="C18" s="9" t="s">
        <v>135</v>
      </c>
      <c r="D18" s="9" t="n">
        <v>712</v>
      </c>
      <c r="E18" s="9" t="n">
        <v>4.5</v>
      </c>
      <c r="F18" s="9" t="s">
        <v>136</v>
      </c>
      <c r="G18" s="9" t="s">
        <v>137</v>
      </c>
      <c r="H18" s="9" t="s">
        <v>92</v>
      </c>
      <c r="I18" s="9" t="s">
        <v>80</v>
      </c>
      <c r="J18" s="10" t="n">
        <v>43738</v>
      </c>
      <c r="K18" s="10" t="n">
        <v>824</v>
      </c>
      <c r="L18" s="10" t="n">
        <v>1922</v>
      </c>
      <c r="M18" s="10" t="s">
        <v>81</v>
      </c>
      <c r="N18" s="10" t="s">
        <v>81</v>
      </c>
      <c r="O18" s="10" t="s">
        <v>81</v>
      </c>
      <c r="P18" s="10" t="n">
        <v>0</v>
      </c>
      <c r="Q18" s="10" t="n">
        <v>0</v>
      </c>
      <c r="R18" s="10" t="n">
        <v>0</v>
      </c>
      <c r="S18" s="10" t="n">
        <v>1295</v>
      </c>
      <c r="T18" s="10" t="n">
        <v>2707</v>
      </c>
      <c r="U18" s="10" t="n">
        <v>665</v>
      </c>
      <c r="V18" s="9" t="s">
        <v>81</v>
      </c>
      <c r="W18" s="9" t="s">
        <v>81</v>
      </c>
      <c r="X18" s="9" t="s">
        <v>81</v>
      </c>
      <c r="Y18" s="10" t="n">
        <f aca="false">IF(COUNT(P18:R18)=0,"-",SUM(P18:R18))</f>
        <v>0</v>
      </c>
      <c r="Z18" s="10" t="n">
        <f aca="false">IF(COUNT(S18:U18)=0,"-",SUM(S18:U18))</f>
        <v>4667</v>
      </c>
      <c r="AA18" s="11" t="str">
        <f aca="false">IF(AND(ISNUMBER(Y18),Y18&gt;0),((Y18-N(Z18))/Y18)*100,"-")</f>
        <v>-</v>
      </c>
      <c r="AB18" s="9" t="s">
        <v>138</v>
      </c>
    </row>
    <row r="19" customFormat="false" ht="15" hidden="false" customHeight="false" outlineLevel="0" collapsed="false">
      <c r="A19" s="9" t="n">
        <v>216</v>
      </c>
      <c r="B19" s="9" t="s">
        <v>139</v>
      </c>
      <c r="C19" s="9" t="s">
        <v>140</v>
      </c>
      <c r="D19" s="9" t="n">
        <v>15</v>
      </c>
      <c r="E19" s="9" t="n">
        <v>4.4</v>
      </c>
      <c r="F19" s="9" t="s">
        <v>141</v>
      </c>
      <c r="G19" s="9" t="s">
        <v>142</v>
      </c>
      <c r="H19" s="9" t="s">
        <v>79</v>
      </c>
      <c r="I19" s="9" t="s">
        <v>80</v>
      </c>
      <c r="J19" s="10" t="n">
        <v>81759</v>
      </c>
      <c r="K19" s="10" t="n">
        <v>87683</v>
      </c>
      <c r="L19" s="10" t="n">
        <v>91579</v>
      </c>
      <c r="M19" s="10" t="s">
        <v>81</v>
      </c>
      <c r="N19" s="10" t="s">
        <v>81</v>
      </c>
      <c r="O19" s="10" t="s">
        <v>81</v>
      </c>
      <c r="P19" s="10" t="n">
        <v>2117</v>
      </c>
      <c r="Q19" s="10" t="n">
        <v>17949</v>
      </c>
      <c r="R19" s="10" t="n">
        <v>1559</v>
      </c>
      <c r="S19" s="10" t="n">
        <v>0</v>
      </c>
      <c r="T19" s="10" t="n">
        <v>0</v>
      </c>
      <c r="U19" s="10" t="n">
        <v>0</v>
      </c>
      <c r="V19" s="9" t="s">
        <v>81</v>
      </c>
      <c r="W19" s="9" t="s">
        <v>81</v>
      </c>
      <c r="X19" s="9" t="s">
        <v>81</v>
      </c>
      <c r="Y19" s="10" t="n">
        <f aca="false">IF(COUNT(P19:R19)=0,"-",SUM(P19:R19))</f>
        <v>21625</v>
      </c>
      <c r="Z19" s="10" t="n">
        <f aca="false">IF(COUNT(S19:U19)=0,"-",SUM(S19:U19))</f>
        <v>0</v>
      </c>
      <c r="AA19" s="11" t="n">
        <f aca="false">IF(AND(ISNUMBER(Y19),Y19&gt;0),((Y19-N(Z19))/Y19)*100,"-")</f>
        <v>100</v>
      </c>
      <c r="AB19" s="9" t="s">
        <v>82</v>
      </c>
    </row>
    <row r="20" customFormat="false" ht="15" hidden="false" customHeight="false" outlineLevel="0" collapsed="false">
      <c r="A20" s="9" t="n">
        <v>217</v>
      </c>
      <c r="B20" s="9" t="s">
        <v>37</v>
      </c>
      <c r="C20" s="9" t="s">
        <v>143</v>
      </c>
      <c r="D20" s="9" t="n">
        <v>78</v>
      </c>
      <c r="E20" s="9" t="n">
        <v>4.5</v>
      </c>
      <c r="F20" s="9" t="s">
        <v>38</v>
      </c>
      <c r="G20" s="9" t="s">
        <v>39</v>
      </c>
      <c r="H20" s="9" t="s">
        <v>92</v>
      </c>
      <c r="I20" s="9" t="s">
        <v>80</v>
      </c>
      <c r="J20" s="10" t="n">
        <v>4663</v>
      </c>
      <c r="K20" s="10" t="s">
        <v>81</v>
      </c>
      <c r="L20" s="10" t="s">
        <v>81</v>
      </c>
      <c r="M20" s="10" t="s">
        <v>81</v>
      </c>
      <c r="N20" s="10" t="s">
        <v>81</v>
      </c>
      <c r="O20" s="10" t="s">
        <v>81</v>
      </c>
      <c r="P20" s="10" t="n">
        <v>82</v>
      </c>
      <c r="Q20" s="10" t="s">
        <v>81</v>
      </c>
      <c r="R20" s="10" t="s">
        <v>81</v>
      </c>
      <c r="S20" s="10" t="n">
        <v>0</v>
      </c>
      <c r="T20" s="10" t="s">
        <v>81</v>
      </c>
      <c r="U20" s="10" t="s">
        <v>81</v>
      </c>
      <c r="V20" s="9" t="s">
        <v>81</v>
      </c>
      <c r="W20" s="9" t="s">
        <v>81</v>
      </c>
      <c r="X20" s="9" t="s">
        <v>81</v>
      </c>
      <c r="Y20" s="10" t="n">
        <f aca="false">IF(COUNT(P20:R20)=0,"-",SUM(P20:R20))</f>
        <v>82</v>
      </c>
      <c r="Z20" s="10" t="n">
        <f aca="false">IF(COUNT(S20:U20)=0,"-",SUM(S20:U20))</f>
        <v>0</v>
      </c>
      <c r="AA20" s="11" t="n">
        <f aca="false">IF(AND(ISNUMBER(Y20),Y20&gt;0),((Y20-N(Z20))/Y20)*100,"-")</f>
        <v>100</v>
      </c>
      <c r="AB20" s="9" t="s">
        <v>144</v>
      </c>
    </row>
    <row r="21" customFormat="false" ht="15" hidden="false" customHeight="false" outlineLevel="0" collapsed="false">
      <c r="A21" s="9" t="n">
        <v>220</v>
      </c>
      <c r="B21" s="9" t="s">
        <v>145</v>
      </c>
      <c r="C21" s="9" t="s">
        <v>146</v>
      </c>
      <c r="D21" s="9" t="n">
        <v>647</v>
      </c>
      <c r="E21" s="9" t="n">
        <v>4.3</v>
      </c>
      <c r="F21" s="9" t="s">
        <v>147</v>
      </c>
      <c r="G21" s="9" t="s">
        <v>148</v>
      </c>
      <c r="H21" s="9" t="s">
        <v>79</v>
      </c>
      <c r="I21" s="9" t="s">
        <v>80</v>
      </c>
      <c r="J21" s="10" t="n">
        <v>3179</v>
      </c>
      <c r="K21" s="10" t="n">
        <v>39878</v>
      </c>
      <c r="L21" s="10" t="n">
        <v>43791</v>
      </c>
      <c r="M21" s="10" t="s">
        <v>81</v>
      </c>
      <c r="N21" s="10" t="s">
        <v>81</v>
      </c>
      <c r="O21" s="10" t="s">
        <v>81</v>
      </c>
      <c r="P21" s="10" t="n">
        <v>0</v>
      </c>
      <c r="Q21" s="10" t="n">
        <v>80</v>
      </c>
      <c r="R21" s="10" t="n">
        <v>0</v>
      </c>
      <c r="S21" s="10" t="n">
        <v>0</v>
      </c>
      <c r="T21" s="10" t="n">
        <v>0</v>
      </c>
      <c r="U21" s="10" t="n">
        <v>101</v>
      </c>
      <c r="V21" s="9" t="s">
        <v>81</v>
      </c>
      <c r="W21" s="9" t="s">
        <v>81</v>
      </c>
      <c r="X21" s="9" t="s">
        <v>81</v>
      </c>
      <c r="Y21" s="10" t="n">
        <f aca="false">IF(COUNT(P21:R21)=0,"-",SUM(P21:R21))</f>
        <v>80</v>
      </c>
      <c r="Z21" s="10" t="n">
        <f aca="false">IF(COUNT(S21:U21)=0,"-",SUM(S21:U21))</f>
        <v>101</v>
      </c>
      <c r="AA21" s="11" t="n">
        <f aca="false">IF(AND(ISNUMBER(Y21),Y21&gt;0),((Y21-N(Z21))/Y21)*100,"-")</f>
        <v>-26.25</v>
      </c>
      <c r="AB21" s="9" t="s">
        <v>82</v>
      </c>
    </row>
    <row r="22" customFormat="false" ht="15" hidden="false" customHeight="false" outlineLevel="0" collapsed="false">
      <c r="A22" s="9" t="n">
        <v>222</v>
      </c>
      <c r="B22" s="9" t="s">
        <v>27</v>
      </c>
      <c r="C22" s="9" t="s">
        <v>149</v>
      </c>
      <c r="D22" s="9" t="n">
        <v>600</v>
      </c>
      <c r="E22" s="9" t="n">
        <v>4.5</v>
      </c>
      <c r="F22" s="9" t="s">
        <v>28</v>
      </c>
      <c r="G22" s="9" t="s">
        <v>29</v>
      </c>
      <c r="H22" s="9" t="s">
        <v>84</v>
      </c>
      <c r="I22" s="9" t="s">
        <v>85</v>
      </c>
      <c r="J22" s="10" t="n">
        <v>155745210</v>
      </c>
      <c r="K22" s="10" t="n">
        <v>187357965</v>
      </c>
      <c r="L22" s="10" t="n">
        <v>218572895</v>
      </c>
      <c r="M22" s="10" t="n">
        <v>27475435</v>
      </c>
      <c r="N22" s="10" t="n">
        <v>35440526</v>
      </c>
      <c r="O22" s="10" t="n">
        <v>37855764</v>
      </c>
      <c r="P22" s="10" t="n">
        <v>14174325</v>
      </c>
      <c r="Q22" s="10" t="n">
        <v>16959735</v>
      </c>
      <c r="R22" s="10" t="n">
        <v>14405355</v>
      </c>
      <c r="S22" s="10" t="n">
        <v>0</v>
      </c>
      <c r="T22" s="10" t="n">
        <v>0</v>
      </c>
      <c r="U22" s="10" t="n">
        <v>0</v>
      </c>
      <c r="V22" s="9" t="s">
        <v>81</v>
      </c>
      <c r="W22" s="9" t="s">
        <v>81</v>
      </c>
      <c r="X22" s="9" t="s">
        <v>81</v>
      </c>
      <c r="Y22" s="10" t="n">
        <f aca="false">IF(COUNT(P22:R22)=0,"-",SUM(P22:R22))</f>
        <v>45539415</v>
      </c>
      <c r="Z22" s="10" t="n">
        <f aca="false">IF(COUNT(S22:U22)=0,"-",SUM(S22:U22))</f>
        <v>0</v>
      </c>
      <c r="AA22" s="11" t="n">
        <f aca="false">IF(AND(ISNUMBER(Y22),Y22&gt;0),((Y22-N(Z22))/Y22)*100,"-")</f>
        <v>100</v>
      </c>
      <c r="AB22" s="9" t="s">
        <v>86</v>
      </c>
    </row>
    <row r="23" customFormat="false" ht="15" hidden="false" customHeight="false" outlineLevel="0" collapsed="false">
      <c r="A23" s="9" t="n">
        <v>223</v>
      </c>
      <c r="B23" s="9" t="s">
        <v>30</v>
      </c>
      <c r="C23" s="9" t="s">
        <v>150</v>
      </c>
      <c r="D23" s="9" t="n">
        <v>743</v>
      </c>
      <c r="E23" s="9" t="n">
        <v>4.4</v>
      </c>
      <c r="F23" s="9" t="s">
        <v>31</v>
      </c>
      <c r="G23" s="9" t="s">
        <v>32</v>
      </c>
      <c r="H23" s="9" t="s">
        <v>92</v>
      </c>
      <c r="I23" s="9" t="s">
        <v>122</v>
      </c>
      <c r="J23" s="10" t="n">
        <v>20168953</v>
      </c>
      <c r="K23" s="10" t="n">
        <v>25930672</v>
      </c>
      <c r="L23" s="10" t="n">
        <v>30813210</v>
      </c>
      <c r="M23" s="10" t="n">
        <v>14955521</v>
      </c>
      <c r="N23" s="10" t="n">
        <v>20142693</v>
      </c>
      <c r="O23" s="10" t="n">
        <v>24240245</v>
      </c>
      <c r="P23" s="10" t="n">
        <v>3539841</v>
      </c>
      <c r="Q23" s="10" t="n">
        <v>5678938</v>
      </c>
      <c r="R23" s="10" t="n">
        <v>4115411</v>
      </c>
      <c r="S23" s="10" t="n">
        <v>0</v>
      </c>
      <c r="T23" s="10" t="n">
        <v>0</v>
      </c>
      <c r="U23" s="10" t="n">
        <v>0</v>
      </c>
      <c r="V23" s="9" t="s">
        <v>81</v>
      </c>
      <c r="W23" s="9" t="s">
        <v>81</v>
      </c>
      <c r="X23" s="9" t="s">
        <v>81</v>
      </c>
      <c r="Y23" s="10" t="n">
        <f aca="false">IF(COUNT(P23:R23)=0,"-",SUM(P23:R23))</f>
        <v>13334190</v>
      </c>
      <c r="Z23" s="10" t="n">
        <f aca="false">IF(COUNT(S23:U23)=0,"-",SUM(S23:U23))</f>
        <v>0</v>
      </c>
      <c r="AA23" s="11" t="n">
        <f aca="false">IF(AND(ISNUMBER(Y23),Y23&gt;0),((Y23-N(Z23))/Y23)*100,"-")</f>
        <v>100</v>
      </c>
      <c r="AB23" s="9" t="s">
        <v>86</v>
      </c>
    </row>
    <row r="24" customFormat="false" ht="15" hidden="false" customHeight="false" outlineLevel="0" collapsed="false">
      <c r="A24" s="9" t="n">
        <v>224</v>
      </c>
      <c r="B24" s="9" t="s">
        <v>30</v>
      </c>
      <c r="C24" s="9" t="s">
        <v>151</v>
      </c>
      <c r="D24" s="9" t="n">
        <v>576</v>
      </c>
      <c r="E24" s="9" t="n">
        <v>4.4</v>
      </c>
      <c r="F24" s="9" t="s">
        <v>31</v>
      </c>
      <c r="G24" s="9" t="s">
        <v>32</v>
      </c>
      <c r="H24" s="9" t="s">
        <v>92</v>
      </c>
      <c r="I24" s="9" t="s">
        <v>122</v>
      </c>
      <c r="J24" s="10" t="n">
        <v>20168953</v>
      </c>
      <c r="K24" s="10" t="n">
        <v>25930672</v>
      </c>
      <c r="L24" s="10" t="n">
        <v>30813210</v>
      </c>
      <c r="M24" s="10" t="n">
        <v>14955521</v>
      </c>
      <c r="N24" s="10" t="n">
        <v>20142693</v>
      </c>
      <c r="O24" s="10" t="n">
        <v>24240245</v>
      </c>
      <c r="P24" s="10" t="n">
        <v>3539841</v>
      </c>
      <c r="Q24" s="10" t="n">
        <v>5678938</v>
      </c>
      <c r="R24" s="10" t="n">
        <v>4115411</v>
      </c>
      <c r="S24" s="10" t="n">
        <v>0</v>
      </c>
      <c r="T24" s="10" t="n">
        <v>0</v>
      </c>
      <c r="U24" s="10" t="n">
        <v>0</v>
      </c>
      <c r="V24" s="9" t="s">
        <v>81</v>
      </c>
      <c r="W24" s="9" t="s">
        <v>81</v>
      </c>
      <c r="X24" s="9" t="s">
        <v>81</v>
      </c>
      <c r="Y24" s="10" t="n">
        <f aca="false">IF(COUNT(P24:R24)=0,"-",SUM(P24:R24))</f>
        <v>13334190</v>
      </c>
      <c r="Z24" s="10" t="n">
        <f aca="false">IF(COUNT(S24:U24)=0,"-",SUM(S24:U24))</f>
        <v>0</v>
      </c>
      <c r="AA24" s="11" t="n">
        <f aca="false">IF(AND(ISNUMBER(Y24),Y24&gt;0),((Y24-N(Z24))/Y24)*100,"-")</f>
        <v>100</v>
      </c>
      <c r="AB24" s="9" t="s">
        <v>86</v>
      </c>
    </row>
    <row r="25" customFormat="false" ht="15" hidden="false" customHeight="false" outlineLevel="0" collapsed="false">
      <c r="A25" s="9" t="n">
        <v>225</v>
      </c>
      <c r="B25" s="9" t="s">
        <v>102</v>
      </c>
      <c r="C25" s="9" t="s">
        <v>152</v>
      </c>
      <c r="D25" s="9" t="n">
        <v>89</v>
      </c>
      <c r="E25" s="9" t="n">
        <v>4.2</v>
      </c>
      <c r="F25" s="9" t="s">
        <v>104</v>
      </c>
      <c r="G25" s="9" t="s">
        <v>105</v>
      </c>
      <c r="H25" s="9" t="s">
        <v>79</v>
      </c>
      <c r="I25" s="9" t="s">
        <v>106</v>
      </c>
      <c r="J25" s="10" t="n">
        <v>75067</v>
      </c>
      <c r="K25" s="10" t="n">
        <v>156359</v>
      </c>
      <c r="L25" s="10" t="n">
        <v>117703</v>
      </c>
      <c r="M25" s="10" t="s">
        <v>81</v>
      </c>
      <c r="N25" s="10" t="s">
        <v>81</v>
      </c>
      <c r="O25" s="10" t="s">
        <v>81</v>
      </c>
      <c r="P25" s="10" t="n">
        <v>0</v>
      </c>
      <c r="Q25" s="10" t="n">
        <v>49593</v>
      </c>
      <c r="R25" s="10" t="n">
        <v>19567</v>
      </c>
      <c r="S25" s="10" t="n">
        <v>13678</v>
      </c>
      <c r="T25" s="10" t="n">
        <v>0</v>
      </c>
      <c r="U25" s="10" t="n">
        <v>0</v>
      </c>
      <c r="V25" s="9" t="s">
        <v>81</v>
      </c>
      <c r="W25" s="9" t="s">
        <v>81</v>
      </c>
      <c r="X25" s="9" t="s">
        <v>81</v>
      </c>
      <c r="Y25" s="10" t="n">
        <f aca="false">IF(COUNT(P25:R25)=0,"-",SUM(P25:R25))</f>
        <v>69160</v>
      </c>
      <c r="Z25" s="10" t="n">
        <f aca="false">IF(COUNT(S25:U25)=0,"-",SUM(S25:U25))</f>
        <v>13678</v>
      </c>
      <c r="AA25" s="11" t="n">
        <f aca="false">IF(AND(ISNUMBER(Y25),Y25&gt;0),((Y25-N(Z25))/Y25)*100,"-")</f>
        <v>80.2226720647773</v>
      </c>
      <c r="AB25" s="9" t="s">
        <v>82</v>
      </c>
    </row>
    <row r="26" customFormat="false" ht="15" hidden="false" customHeight="false" outlineLevel="0" collapsed="false">
      <c r="A26" s="9" t="n">
        <v>229</v>
      </c>
      <c r="B26" s="9" t="s">
        <v>153</v>
      </c>
      <c r="C26" s="9" t="s">
        <v>154</v>
      </c>
      <c r="D26" s="9" t="n">
        <v>52</v>
      </c>
      <c r="E26" s="9" t="n">
        <v>4.2</v>
      </c>
      <c r="F26" s="9" t="s">
        <v>155</v>
      </c>
      <c r="G26" s="9" t="s">
        <v>156</v>
      </c>
      <c r="H26" s="9" t="s">
        <v>92</v>
      </c>
      <c r="I26" s="9" t="s">
        <v>80</v>
      </c>
      <c r="J26" s="10" t="n">
        <v>54433</v>
      </c>
      <c r="K26" s="10" t="n">
        <v>59684</v>
      </c>
      <c r="L26" s="10" t="n">
        <v>139479</v>
      </c>
      <c r="M26" s="10" t="s">
        <v>81</v>
      </c>
      <c r="N26" s="10" t="s">
        <v>81</v>
      </c>
      <c r="O26" s="10" t="s">
        <v>81</v>
      </c>
      <c r="P26" s="10" t="n">
        <v>8244</v>
      </c>
      <c r="Q26" s="10" t="n">
        <v>5849</v>
      </c>
      <c r="R26" s="10" t="n">
        <v>27442</v>
      </c>
      <c r="S26" s="10" t="n">
        <v>0</v>
      </c>
      <c r="T26" s="10" t="n">
        <v>0</v>
      </c>
      <c r="U26" s="10" t="n">
        <v>0</v>
      </c>
      <c r="V26" s="9" t="s">
        <v>81</v>
      </c>
      <c r="W26" s="9" t="s">
        <v>81</v>
      </c>
      <c r="X26" s="9" t="s">
        <v>81</v>
      </c>
      <c r="Y26" s="10" t="n">
        <f aca="false">IF(COUNT(P26:R26)=0,"-",SUM(P26:R26))</f>
        <v>41535</v>
      </c>
      <c r="Z26" s="10" t="n">
        <f aca="false">IF(COUNT(S26:U26)=0,"-",SUM(S26:U26))</f>
        <v>0</v>
      </c>
      <c r="AA26" s="11" t="n">
        <f aca="false">IF(AND(ISNUMBER(Y26),Y26&gt;0),((Y26-N(Z26))/Y26)*100,"-")</f>
        <v>100</v>
      </c>
      <c r="AB26" s="9" t="s">
        <v>82</v>
      </c>
    </row>
    <row r="27" customFormat="false" ht="15" hidden="false" customHeight="false" outlineLevel="0" collapsed="false">
      <c r="A27" s="9" t="n">
        <v>232</v>
      </c>
      <c r="B27" s="9" t="s">
        <v>157</v>
      </c>
      <c r="C27" s="9" t="s">
        <v>158</v>
      </c>
      <c r="D27" s="9" t="n">
        <v>370</v>
      </c>
      <c r="E27" s="9" t="n">
        <v>4.4</v>
      </c>
      <c r="F27" s="9" t="s">
        <v>159</v>
      </c>
      <c r="G27" s="9" t="s">
        <v>160</v>
      </c>
      <c r="H27" s="9" t="s">
        <v>92</v>
      </c>
      <c r="I27" s="9" t="s">
        <v>80</v>
      </c>
      <c r="J27" s="10" t="n">
        <v>6863</v>
      </c>
      <c r="K27" s="10" t="n">
        <v>0</v>
      </c>
      <c r="L27" s="10" t="s">
        <v>81</v>
      </c>
      <c r="M27" s="10" t="n">
        <v>3504</v>
      </c>
      <c r="N27" s="10" t="n">
        <v>0</v>
      </c>
      <c r="O27" s="10" t="s">
        <v>81</v>
      </c>
      <c r="P27" s="10" t="n">
        <v>1680</v>
      </c>
      <c r="Q27" s="10" t="n">
        <v>0</v>
      </c>
      <c r="R27" s="10" t="n">
        <v>0</v>
      </c>
      <c r="S27" s="10" t="n">
        <v>0</v>
      </c>
      <c r="T27" s="10" t="n">
        <v>1258</v>
      </c>
      <c r="U27" s="10" t="n">
        <v>406</v>
      </c>
      <c r="V27" s="9" t="s">
        <v>81</v>
      </c>
      <c r="W27" s="9" t="s">
        <v>81</v>
      </c>
      <c r="X27" s="9" t="s">
        <v>81</v>
      </c>
      <c r="Y27" s="10" t="n">
        <f aca="false">IF(COUNT(P27:R27)=0,"-",SUM(P27:R27))</f>
        <v>1680</v>
      </c>
      <c r="Z27" s="10" t="n">
        <f aca="false">IF(COUNT(S27:U27)=0,"-",SUM(S27:U27))</f>
        <v>1664</v>
      </c>
      <c r="AA27" s="11" t="n">
        <f aca="false">IF(AND(ISNUMBER(Y27),Y27&gt;0),((Y27-N(Z27))/Y27)*100,"-")</f>
        <v>0.952380952380952</v>
      </c>
      <c r="AB27" s="9" t="s">
        <v>161</v>
      </c>
    </row>
    <row r="28" customFormat="false" ht="15" hidden="false" customHeight="false" outlineLevel="0" collapsed="false">
      <c r="A28" s="9" t="n">
        <v>233</v>
      </c>
      <c r="B28" s="9" t="s">
        <v>30</v>
      </c>
      <c r="C28" s="9" t="s">
        <v>162</v>
      </c>
      <c r="D28" s="9" t="n">
        <v>251</v>
      </c>
      <c r="E28" s="9" t="n">
        <v>4.3</v>
      </c>
      <c r="F28" s="9" t="s">
        <v>31</v>
      </c>
      <c r="G28" s="9" t="s">
        <v>32</v>
      </c>
      <c r="H28" s="9" t="s">
        <v>92</v>
      </c>
      <c r="I28" s="9" t="s">
        <v>122</v>
      </c>
      <c r="J28" s="10" t="n">
        <v>20168953</v>
      </c>
      <c r="K28" s="10" t="n">
        <v>25930672</v>
      </c>
      <c r="L28" s="10" t="n">
        <v>30813210</v>
      </c>
      <c r="M28" s="10" t="n">
        <v>14955521</v>
      </c>
      <c r="N28" s="10" t="n">
        <v>20142693</v>
      </c>
      <c r="O28" s="10" t="n">
        <v>24240245</v>
      </c>
      <c r="P28" s="10" t="n">
        <v>3539841</v>
      </c>
      <c r="Q28" s="10" t="n">
        <v>5678938</v>
      </c>
      <c r="R28" s="10" t="n">
        <v>4115411</v>
      </c>
      <c r="S28" s="10" t="n">
        <v>0</v>
      </c>
      <c r="T28" s="10" t="n">
        <v>0</v>
      </c>
      <c r="U28" s="10" t="n">
        <v>0</v>
      </c>
      <c r="V28" s="9" t="s">
        <v>81</v>
      </c>
      <c r="W28" s="9" t="s">
        <v>81</v>
      </c>
      <c r="X28" s="9" t="s">
        <v>81</v>
      </c>
      <c r="Y28" s="10" t="n">
        <f aca="false">IF(COUNT(P28:R28)=0,"-",SUM(P28:R28))</f>
        <v>13334190</v>
      </c>
      <c r="Z28" s="10" t="n">
        <f aca="false">IF(COUNT(S28:U28)=0,"-",SUM(S28:U28))</f>
        <v>0</v>
      </c>
      <c r="AA28" s="11" t="n">
        <f aca="false">IF(AND(ISNUMBER(Y28),Y28&gt;0),((Y28-N(Z28))/Y28)*100,"-")</f>
        <v>100</v>
      </c>
      <c r="AB28" s="9" t="s">
        <v>86</v>
      </c>
    </row>
    <row r="29" customFormat="false" ht="15" hidden="false" customHeight="false" outlineLevel="0" collapsed="false">
      <c r="A29" s="9" t="n">
        <v>234</v>
      </c>
      <c r="B29" s="9" t="s">
        <v>163</v>
      </c>
      <c r="C29" s="9" t="s">
        <v>164</v>
      </c>
      <c r="D29" s="9" t="n">
        <v>590</v>
      </c>
      <c r="E29" s="9" t="n">
        <v>4.7</v>
      </c>
      <c r="F29" s="9" t="s">
        <v>165</v>
      </c>
      <c r="G29" s="9" t="s">
        <v>166</v>
      </c>
      <c r="H29" s="9" t="s">
        <v>92</v>
      </c>
      <c r="I29" s="9" t="s">
        <v>167</v>
      </c>
      <c r="J29" s="10" t="s">
        <v>81</v>
      </c>
      <c r="K29" s="10" t="s">
        <v>81</v>
      </c>
      <c r="L29" s="10" t="s">
        <v>81</v>
      </c>
      <c r="M29" s="10" t="s">
        <v>81</v>
      </c>
      <c r="N29" s="10" t="s">
        <v>81</v>
      </c>
      <c r="O29" s="10" t="s">
        <v>81</v>
      </c>
      <c r="P29" s="10" t="s">
        <v>81</v>
      </c>
      <c r="Q29" s="10" t="s">
        <v>81</v>
      </c>
      <c r="R29" s="10" t="s">
        <v>81</v>
      </c>
      <c r="S29" s="10" t="s">
        <v>81</v>
      </c>
      <c r="T29" s="10" t="s">
        <v>81</v>
      </c>
      <c r="U29" s="10" t="s">
        <v>81</v>
      </c>
      <c r="V29" s="9" t="s">
        <v>81</v>
      </c>
      <c r="W29" s="9" t="s">
        <v>81</v>
      </c>
      <c r="X29" s="9" t="s">
        <v>81</v>
      </c>
      <c r="Y29" s="10" t="str">
        <f aca="false">IF(COUNT(P29:R29)=0,"-",SUM(P29:R29))</f>
        <v>-</v>
      </c>
      <c r="Z29" s="10" t="str">
        <f aca="false">IF(COUNT(S29:U29)=0,"-",SUM(S29:U29))</f>
        <v>-</v>
      </c>
      <c r="AA29" s="11" t="str">
        <f aca="false">IF(AND(ISNUMBER(Y29),Y29&gt;0),((Y29-N(Z29))/Y29)*100,"-")</f>
        <v>-</v>
      </c>
      <c r="AB29" s="9" t="s">
        <v>138</v>
      </c>
    </row>
    <row r="30" customFormat="false" ht="15" hidden="false" customHeight="false" outlineLevel="0" collapsed="false">
      <c r="A30" s="9" t="n">
        <v>235</v>
      </c>
      <c r="B30" s="9" t="s">
        <v>168</v>
      </c>
      <c r="C30" s="9" t="s">
        <v>164</v>
      </c>
      <c r="D30" s="9" t="n">
        <v>82</v>
      </c>
      <c r="E30" s="9" t="n">
        <v>4.7</v>
      </c>
      <c r="F30" s="9" t="s">
        <v>104</v>
      </c>
      <c r="G30" s="9" t="s">
        <v>105</v>
      </c>
      <c r="H30" s="9" t="s">
        <v>79</v>
      </c>
      <c r="I30" s="9" t="s">
        <v>106</v>
      </c>
      <c r="J30" s="10" t="n">
        <v>75067</v>
      </c>
      <c r="K30" s="10" t="n">
        <v>156359</v>
      </c>
      <c r="L30" s="10" t="n">
        <v>117703</v>
      </c>
      <c r="M30" s="10" t="s">
        <v>81</v>
      </c>
      <c r="N30" s="10" t="s">
        <v>81</v>
      </c>
      <c r="O30" s="10" t="s">
        <v>81</v>
      </c>
      <c r="P30" s="10" t="n">
        <v>0</v>
      </c>
      <c r="Q30" s="10" t="n">
        <v>49593</v>
      </c>
      <c r="R30" s="10" t="n">
        <v>19567</v>
      </c>
      <c r="S30" s="10" t="n">
        <v>13678</v>
      </c>
      <c r="T30" s="10" t="n">
        <v>0</v>
      </c>
      <c r="U30" s="10" t="n">
        <v>0</v>
      </c>
      <c r="V30" s="9" t="s">
        <v>81</v>
      </c>
      <c r="W30" s="9" t="s">
        <v>81</v>
      </c>
      <c r="X30" s="9" t="s">
        <v>81</v>
      </c>
      <c r="Y30" s="10" t="n">
        <f aca="false">IF(COUNT(P30:R30)=0,"-",SUM(P30:R30))</f>
        <v>69160</v>
      </c>
      <c r="Z30" s="10" t="n">
        <f aca="false">IF(COUNT(S30:U30)=0,"-",SUM(S30:U30))</f>
        <v>13678</v>
      </c>
      <c r="AA30" s="11" t="n">
        <f aca="false">IF(AND(ISNUMBER(Y30),Y30&gt;0),((Y30-N(Z30))/Y30)*100,"-")</f>
        <v>80.2226720647773</v>
      </c>
      <c r="AB30" s="9" t="s">
        <v>82</v>
      </c>
    </row>
    <row r="31" customFormat="false" ht="15" hidden="false" customHeight="false" outlineLevel="0" collapsed="false">
      <c r="A31" s="9" t="n">
        <v>236</v>
      </c>
      <c r="B31" s="9" t="s">
        <v>97</v>
      </c>
      <c r="C31" s="9" t="s">
        <v>169</v>
      </c>
      <c r="D31" s="9" t="n">
        <v>237</v>
      </c>
      <c r="E31" s="9" t="n">
        <v>4.6</v>
      </c>
      <c r="F31" s="9" t="s">
        <v>99</v>
      </c>
      <c r="G31" s="9" t="s">
        <v>100</v>
      </c>
      <c r="H31" s="9" t="s">
        <v>92</v>
      </c>
      <c r="I31" s="9" t="s">
        <v>101</v>
      </c>
      <c r="J31" s="10" t="n">
        <v>74455646</v>
      </c>
      <c r="K31" s="10" t="n">
        <v>90264478</v>
      </c>
      <c r="L31" s="10" t="n">
        <v>103954806</v>
      </c>
      <c r="M31" s="10" t="n">
        <v>15131005</v>
      </c>
      <c r="N31" s="10" t="n">
        <v>17291096</v>
      </c>
      <c r="O31" s="10" t="n">
        <v>17849571</v>
      </c>
      <c r="P31" s="10" t="n">
        <v>1799543</v>
      </c>
      <c r="Q31" s="10" t="n">
        <v>1634622</v>
      </c>
      <c r="R31" s="10" t="n">
        <v>637589</v>
      </c>
      <c r="S31" s="10" t="n">
        <v>0</v>
      </c>
      <c r="T31" s="10" t="n">
        <v>0</v>
      </c>
      <c r="U31" s="10" t="n">
        <v>0</v>
      </c>
      <c r="V31" s="9" t="s">
        <v>81</v>
      </c>
      <c r="W31" s="9" t="s">
        <v>81</v>
      </c>
      <c r="X31" s="9" t="s">
        <v>81</v>
      </c>
      <c r="Y31" s="10" t="n">
        <f aca="false">IF(COUNT(P31:R31)=0,"-",SUM(P31:R31))</f>
        <v>4071754</v>
      </c>
      <c r="Z31" s="10" t="n">
        <f aca="false">IF(COUNT(S31:U31)=0,"-",SUM(S31:U31))</f>
        <v>0</v>
      </c>
      <c r="AA31" s="11" t="n">
        <f aca="false">IF(AND(ISNUMBER(Y31),Y31&gt;0),((Y31-N(Z31))/Y31)*100,"-")</f>
        <v>100</v>
      </c>
      <c r="AB31" s="9" t="s">
        <v>86</v>
      </c>
    </row>
    <row r="32" customFormat="false" ht="15" hidden="false" customHeight="false" outlineLevel="0" collapsed="false">
      <c r="A32" s="9" t="n">
        <v>238</v>
      </c>
      <c r="B32" s="9" t="s">
        <v>170</v>
      </c>
      <c r="C32" s="9" t="s">
        <v>169</v>
      </c>
      <c r="D32" s="9" t="n">
        <v>1448</v>
      </c>
      <c r="E32" s="9" t="n">
        <v>5</v>
      </c>
      <c r="F32" s="9" t="s">
        <v>171</v>
      </c>
      <c r="G32" s="9" t="s">
        <v>172</v>
      </c>
      <c r="H32" s="9" t="s">
        <v>79</v>
      </c>
      <c r="I32" s="9" t="s">
        <v>173</v>
      </c>
      <c r="J32" s="10" t="n">
        <v>7659</v>
      </c>
      <c r="K32" s="10" t="n">
        <v>7687</v>
      </c>
      <c r="L32" s="10" t="n">
        <v>7566</v>
      </c>
      <c r="M32" s="10" t="s">
        <v>81</v>
      </c>
      <c r="N32" s="10" t="s">
        <v>81</v>
      </c>
      <c r="O32" s="10" t="s">
        <v>81</v>
      </c>
      <c r="P32" s="10" t="n">
        <v>632</v>
      </c>
      <c r="Q32" s="10" t="n">
        <v>236</v>
      </c>
      <c r="R32" s="10" t="n">
        <v>176</v>
      </c>
      <c r="S32" s="10" t="n">
        <v>0</v>
      </c>
      <c r="T32" s="10" t="n">
        <v>0</v>
      </c>
      <c r="U32" s="10" t="n">
        <v>0</v>
      </c>
      <c r="V32" s="9" t="s">
        <v>81</v>
      </c>
      <c r="W32" s="9" t="s">
        <v>81</v>
      </c>
      <c r="X32" s="9" t="s">
        <v>81</v>
      </c>
      <c r="Y32" s="10" t="n">
        <f aca="false">IF(COUNT(P32:R32)=0,"-",SUM(P32:R32))</f>
        <v>1044</v>
      </c>
      <c r="Z32" s="10" t="n">
        <f aca="false">IF(COUNT(S32:U32)=0,"-",SUM(S32:U32))</f>
        <v>0</v>
      </c>
      <c r="AA32" s="11" t="n">
        <f aca="false">IF(AND(ISNUMBER(Y32),Y32&gt;0),((Y32-N(Z32))/Y32)*100,"-")</f>
        <v>100</v>
      </c>
      <c r="AB32" s="9" t="s">
        <v>82</v>
      </c>
    </row>
    <row r="33" customFormat="false" ht="15" hidden="false" customHeight="false" outlineLevel="0" collapsed="false">
      <c r="A33" s="9" t="n">
        <v>239</v>
      </c>
      <c r="B33" s="9" t="s">
        <v>174</v>
      </c>
      <c r="C33" s="9" t="s">
        <v>169</v>
      </c>
      <c r="D33" s="9" t="n">
        <v>814</v>
      </c>
      <c r="E33" s="9" t="n">
        <v>4.9</v>
      </c>
      <c r="F33" s="9" t="s">
        <v>81</v>
      </c>
      <c r="G33" s="9" t="s">
        <v>81</v>
      </c>
      <c r="H33" s="9" t="s">
        <v>81</v>
      </c>
      <c r="I33" s="9" t="s">
        <v>175</v>
      </c>
      <c r="J33" s="10" t="s">
        <v>81</v>
      </c>
      <c r="K33" s="10" t="s">
        <v>81</v>
      </c>
      <c r="L33" s="10" t="s">
        <v>81</v>
      </c>
      <c r="M33" s="10" t="s">
        <v>81</v>
      </c>
      <c r="N33" s="10" t="s">
        <v>81</v>
      </c>
      <c r="O33" s="10" t="s">
        <v>81</v>
      </c>
      <c r="P33" s="10" t="s">
        <v>81</v>
      </c>
      <c r="Q33" s="10" t="s">
        <v>81</v>
      </c>
      <c r="R33" s="10" t="s">
        <v>81</v>
      </c>
      <c r="S33" s="10" t="s">
        <v>81</v>
      </c>
      <c r="T33" s="10" t="s">
        <v>81</v>
      </c>
      <c r="U33" s="10" t="s">
        <v>81</v>
      </c>
      <c r="V33" s="9" t="s">
        <v>81</v>
      </c>
      <c r="W33" s="9" t="s">
        <v>81</v>
      </c>
      <c r="X33" s="9" t="s">
        <v>81</v>
      </c>
      <c r="Y33" s="10" t="str">
        <f aca="false">IF(COUNT(P33:R33)=0,"-",SUM(P33:R33))</f>
        <v>-</v>
      </c>
      <c r="Z33" s="10" t="str">
        <f aca="false">IF(COUNT(S33:U33)=0,"-",SUM(S33:U33))</f>
        <v>-</v>
      </c>
      <c r="AA33" s="11" t="str">
        <f aca="false">IF(AND(ISNUMBER(Y33),Y33&gt;0),((Y33-N(Z33))/Y33)*100,"-")</f>
        <v>-</v>
      </c>
      <c r="AB33" s="9" t="s">
        <v>138</v>
      </c>
    </row>
    <row r="34" customFormat="false" ht="15" hidden="false" customHeight="false" outlineLevel="0" collapsed="false">
      <c r="A34" s="9" t="n">
        <v>240</v>
      </c>
      <c r="B34" s="9" t="s">
        <v>176</v>
      </c>
      <c r="C34" s="9" t="s">
        <v>169</v>
      </c>
      <c r="D34" s="9" t="n">
        <v>916</v>
      </c>
      <c r="E34" s="9" t="n">
        <v>5</v>
      </c>
      <c r="F34" s="9" t="s">
        <v>177</v>
      </c>
      <c r="G34" s="9" t="s">
        <v>178</v>
      </c>
      <c r="H34" s="9" t="s">
        <v>92</v>
      </c>
      <c r="I34" s="9" t="s">
        <v>179</v>
      </c>
      <c r="J34" s="10" t="s">
        <v>81</v>
      </c>
      <c r="K34" s="10" t="s">
        <v>81</v>
      </c>
      <c r="L34" s="10" t="n">
        <v>0</v>
      </c>
      <c r="M34" s="10" t="s">
        <v>81</v>
      </c>
      <c r="N34" s="10" t="s">
        <v>81</v>
      </c>
      <c r="O34" s="10" t="s">
        <v>81</v>
      </c>
      <c r="P34" s="10" t="n">
        <v>0</v>
      </c>
      <c r="Q34" s="10" t="n">
        <v>0</v>
      </c>
      <c r="R34" s="10" t="n">
        <v>1453</v>
      </c>
      <c r="S34" s="10" t="n">
        <v>1229</v>
      </c>
      <c r="T34" s="10" t="n">
        <v>11</v>
      </c>
      <c r="U34" s="10" t="n">
        <v>0</v>
      </c>
      <c r="V34" s="9" t="s">
        <v>81</v>
      </c>
      <c r="W34" s="9" t="s">
        <v>81</v>
      </c>
      <c r="X34" s="9" t="s">
        <v>81</v>
      </c>
      <c r="Y34" s="10" t="n">
        <f aca="false">IF(COUNT(P34:R34)=0,"-",SUM(P34:R34))</f>
        <v>1453</v>
      </c>
      <c r="Z34" s="10" t="n">
        <f aca="false">IF(COUNT(S34:U34)=0,"-",SUM(S34:U34))</f>
        <v>1240</v>
      </c>
      <c r="AA34" s="11" t="n">
        <f aca="false">IF(AND(ISNUMBER(Y34),Y34&gt;0),((Y34-N(Z34))/Y34)*100,"-")</f>
        <v>14.6593255333792</v>
      </c>
      <c r="AB34" s="9" t="s">
        <v>111</v>
      </c>
    </row>
    <row r="35" customFormat="false" ht="15" hidden="false" customHeight="false" outlineLevel="0" collapsed="false">
      <c r="A35" s="9" t="n">
        <v>241</v>
      </c>
      <c r="B35" s="9" t="s">
        <v>41</v>
      </c>
      <c r="C35" s="9" t="s">
        <v>169</v>
      </c>
      <c r="D35" s="9" t="n">
        <v>351</v>
      </c>
      <c r="E35" s="9" t="n">
        <v>4.9</v>
      </c>
      <c r="F35" s="9" t="s">
        <v>42</v>
      </c>
      <c r="G35" s="9" t="s">
        <v>43</v>
      </c>
      <c r="H35" s="9" t="s">
        <v>92</v>
      </c>
      <c r="I35" s="9" t="s">
        <v>80</v>
      </c>
      <c r="J35" s="10" t="n">
        <v>126094</v>
      </c>
      <c r="K35" s="10" t="n">
        <v>164603</v>
      </c>
      <c r="L35" s="10" t="n">
        <v>144505</v>
      </c>
      <c r="M35" s="10" t="s">
        <v>81</v>
      </c>
      <c r="N35" s="10" t="s">
        <v>81</v>
      </c>
      <c r="O35" s="10" t="s">
        <v>81</v>
      </c>
      <c r="P35" s="10" t="n">
        <v>2204</v>
      </c>
      <c r="Q35" s="10" t="n">
        <v>270</v>
      </c>
      <c r="R35" s="10" t="n">
        <v>0</v>
      </c>
      <c r="S35" s="10" t="n">
        <v>0</v>
      </c>
      <c r="T35" s="10" t="n">
        <v>0</v>
      </c>
      <c r="U35" s="10" t="n">
        <v>3220</v>
      </c>
      <c r="V35" s="9" t="s">
        <v>81</v>
      </c>
      <c r="W35" s="9" t="s">
        <v>81</v>
      </c>
      <c r="X35" s="9" t="s">
        <v>81</v>
      </c>
      <c r="Y35" s="10" t="n">
        <f aca="false">IF(COUNT(P35:R35)=0,"-",SUM(P35:R35))</f>
        <v>2474</v>
      </c>
      <c r="Z35" s="10" t="n">
        <f aca="false">IF(COUNT(S35:U35)=0,"-",SUM(S35:U35))</f>
        <v>3220</v>
      </c>
      <c r="AA35" s="11" t="n">
        <f aca="false">IF(AND(ISNUMBER(Y35),Y35&gt;0),((Y35-N(Z35))/Y35)*100,"-")</f>
        <v>-30.1535974130962</v>
      </c>
      <c r="AB35" s="9" t="s">
        <v>82</v>
      </c>
    </row>
    <row r="36" customFormat="false" ht="15" hidden="false" customHeight="false" outlineLevel="0" collapsed="false">
      <c r="A36" s="9" t="n">
        <v>242</v>
      </c>
      <c r="B36" s="9" t="s">
        <v>112</v>
      </c>
      <c r="C36" s="9" t="s">
        <v>169</v>
      </c>
      <c r="D36" s="9" t="n">
        <v>211</v>
      </c>
      <c r="E36" s="9" t="n">
        <v>4.6</v>
      </c>
      <c r="F36" s="9" t="s">
        <v>114</v>
      </c>
      <c r="G36" s="9" t="s">
        <v>115</v>
      </c>
      <c r="H36" s="9" t="s">
        <v>92</v>
      </c>
      <c r="I36" s="9" t="s">
        <v>116</v>
      </c>
      <c r="J36" s="10" t="n">
        <v>158039</v>
      </c>
      <c r="K36" s="10" t="n">
        <v>173572</v>
      </c>
      <c r="L36" s="10" t="n">
        <v>166280</v>
      </c>
      <c r="M36" s="10" t="n">
        <v>144977</v>
      </c>
      <c r="N36" s="10" t="n">
        <v>173572</v>
      </c>
      <c r="O36" s="10" t="n">
        <v>166280</v>
      </c>
      <c r="P36" s="10" t="n">
        <v>26406</v>
      </c>
      <c r="Q36" s="10" t="n">
        <v>16663</v>
      </c>
      <c r="R36" s="10" t="n">
        <v>7125</v>
      </c>
      <c r="S36" s="10" t="n">
        <v>0</v>
      </c>
      <c r="T36" s="10" t="n">
        <v>0</v>
      </c>
      <c r="U36" s="10" t="n">
        <v>0</v>
      </c>
      <c r="V36" s="9" t="s">
        <v>81</v>
      </c>
      <c r="W36" s="9" t="s">
        <v>81</v>
      </c>
      <c r="X36" s="9" t="s">
        <v>81</v>
      </c>
      <c r="Y36" s="10" t="n">
        <f aca="false">IF(COUNT(P36:R36)=0,"-",SUM(P36:R36))</f>
        <v>50194</v>
      </c>
      <c r="Z36" s="10" t="n">
        <f aca="false">IF(COUNT(S36:U36)=0,"-",SUM(S36:U36))</f>
        <v>0</v>
      </c>
      <c r="AA36" s="11" t="n">
        <f aca="false">IF(AND(ISNUMBER(Y36),Y36&gt;0),((Y36-N(Z36))/Y36)*100,"-")</f>
        <v>100</v>
      </c>
      <c r="AB36" s="9" t="s">
        <v>86</v>
      </c>
    </row>
    <row r="37" customFormat="false" ht="15" hidden="false" customHeight="false" outlineLevel="0" collapsed="false">
      <c r="A37" s="9" t="n">
        <v>244</v>
      </c>
      <c r="B37" s="9" t="s">
        <v>180</v>
      </c>
      <c r="C37" s="9" t="s">
        <v>169</v>
      </c>
      <c r="D37" s="9" t="n">
        <v>897</v>
      </c>
      <c r="E37" s="9" t="n">
        <v>5</v>
      </c>
      <c r="F37" s="9" t="s">
        <v>177</v>
      </c>
      <c r="G37" s="9" t="s">
        <v>178</v>
      </c>
      <c r="H37" s="9" t="s">
        <v>92</v>
      </c>
      <c r="I37" s="9" t="s">
        <v>179</v>
      </c>
      <c r="J37" s="10" t="s">
        <v>81</v>
      </c>
      <c r="K37" s="10" t="s">
        <v>81</v>
      </c>
      <c r="L37" s="10" t="n">
        <v>0</v>
      </c>
      <c r="M37" s="10" t="s">
        <v>81</v>
      </c>
      <c r="N37" s="10" t="s">
        <v>81</v>
      </c>
      <c r="O37" s="10" t="s">
        <v>81</v>
      </c>
      <c r="P37" s="10" t="n">
        <v>0</v>
      </c>
      <c r="Q37" s="10" t="n">
        <v>0</v>
      </c>
      <c r="R37" s="10" t="n">
        <v>1453</v>
      </c>
      <c r="S37" s="10" t="n">
        <v>1229</v>
      </c>
      <c r="T37" s="10" t="n">
        <v>11</v>
      </c>
      <c r="U37" s="10" t="n">
        <v>0</v>
      </c>
      <c r="V37" s="9" t="s">
        <v>81</v>
      </c>
      <c r="W37" s="9" t="s">
        <v>81</v>
      </c>
      <c r="X37" s="9" t="s">
        <v>81</v>
      </c>
      <c r="Y37" s="10" t="n">
        <f aca="false">IF(COUNT(P37:R37)=0,"-",SUM(P37:R37))</f>
        <v>1453</v>
      </c>
      <c r="Z37" s="10" t="n">
        <f aca="false">IF(COUNT(S37:U37)=0,"-",SUM(S37:U37))</f>
        <v>1240</v>
      </c>
      <c r="AA37" s="11" t="n">
        <f aca="false">IF(AND(ISNUMBER(Y37),Y37&gt;0),((Y37-N(Z37))/Y37)*100,"-")</f>
        <v>14.6593255333792</v>
      </c>
      <c r="AB37" s="9" t="s">
        <v>111</v>
      </c>
    </row>
    <row r="38" customFormat="false" ht="15" hidden="false" customHeight="false" outlineLevel="0" collapsed="false">
      <c r="A38" s="9" t="n">
        <v>246</v>
      </c>
      <c r="B38" s="9" t="s">
        <v>44</v>
      </c>
      <c r="C38" s="9" t="s">
        <v>181</v>
      </c>
      <c r="D38" s="9" t="n">
        <v>148</v>
      </c>
      <c r="E38" s="9" t="n">
        <v>5</v>
      </c>
      <c r="F38" s="9" t="s">
        <v>45</v>
      </c>
      <c r="G38" s="9" t="s">
        <v>46</v>
      </c>
      <c r="H38" s="9" t="s">
        <v>79</v>
      </c>
      <c r="I38" s="9" t="s">
        <v>80</v>
      </c>
      <c r="J38" s="10" t="n">
        <v>107076</v>
      </c>
      <c r="K38" s="10" t="n">
        <v>126884</v>
      </c>
      <c r="L38" s="10" t="n">
        <v>149153</v>
      </c>
      <c r="M38" s="10" t="s">
        <v>81</v>
      </c>
      <c r="N38" s="10" t="s">
        <v>81</v>
      </c>
      <c r="O38" s="10" t="s">
        <v>81</v>
      </c>
      <c r="P38" s="10" t="n">
        <v>333</v>
      </c>
      <c r="Q38" s="10" t="n">
        <v>0</v>
      </c>
      <c r="R38" s="10" t="n">
        <v>0</v>
      </c>
      <c r="S38" s="10" t="n">
        <v>0</v>
      </c>
      <c r="T38" s="10" t="n">
        <v>5074</v>
      </c>
      <c r="U38" s="10" t="n">
        <v>1659</v>
      </c>
      <c r="V38" s="9" t="s">
        <v>81</v>
      </c>
      <c r="W38" s="9" t="s">
        <v>81</v>
      </c>
      <c r="X38" s="9" t="s">
        <v>81</v>
      </c>
      <c r="Y38" s="10" t="n">
        <f aca="false">IF(COUNT(P38:R38)=0,"-",SUM(P38:R38))</f>
        <v>333</v>
      </c>
      <c r="Z38" s="10" t="n">
        <f aca="false">IF(COUNT(S38:U38)=0,"-",SUM(S38:U38))</f>
        <v>6733</v>
      </c>
      <c r="AA38" s="11" t="n">
        <f aca="false">IF(AND(ISNUMBER(Y38),Y38&gt;0),((Y38-N(Z38))/Y38)*100,"-")</f>
        <v>-1921.92192192192</v>
      </c>
      <c r="AB38" s="9" t="s">
        <v>82</v>
      </c>
    </row>
    <row r="39" customFormat="false" ht="15" hidden="false" customHeight="false" outlineLevel="0" collapsed="false">
      <c r="A39" s="9" t="n">
        <v>248</v>
      </c>
      <c r="B39" s="9" t="s">
        <v>182</v>
      </c>
      <c r="C39" s="9" t="s">
        <v>183</v>
      </c>
      <c r="D39" s="9" t="n">
        <v>609</v>
      </c>
      <c r="E39" s="9" t="n">
        <v>4.6</v>
      </c>
      <c r="F39" s="9" t="s">
        <v>184</v>
      </c>
      <c r="G39" s="9" t="s">
        <v>185</v>
      </c>
      <c r="H39" s="9" t="s">
        <v>92</v>
      </c>
      <c r="I39" s="9" t="s">
        <v>80</v>
      </c>
      <c r="J39" s="10" t="n">
        <v>9993</v>
      </c>
      <c r="K39" s="10" t="n">
        <v>9655</v>
      </c>
      <c r="L39" s="10" t="n">
        <v>0</v>
      </c>
      <c r="M39" s="10" t="s">
        <v>81</v>
      </c>
      <c r="N39" s="10" t="s">
        <v>81</v>
      </c>
      <c r="O39" s="10" t="s">
        <v>81</v>
      </c>
      <c r="P39" s="10" t="n">
        <v>1871</v>
      </c>
      <c r="Q39" s="10" t="n">
        <v>0</v>
      </c>
      <c r="R39" s="10" t="n">
        <v>0</v>
      </c>
      <c r="S39" s="10" t="n">
        <v>0</v>
      </c>
      <c r="T39" s="10" t="n">
        <v>30</v>
      </c>
      <c r="U39" s="10" t="n">
        <v>1024</v>
      </c>
      <c r="V39" s="9" t="s">
        <v>81</v>
      </c>
      <c r="W39" s="9" t="s">
        <v>81</v>
      </c>
      <c r="X39" s="9" t="s">
        <v>81</v>
      </c>
      <c r="Y39" s="10" t="n">
        <f aca="false">IF(COUNT(P39:R39)=0,"-",SUM(P39:R39))</f>
        <v>1871</v>
      </c>
      <c r="Z39" s="10" t="n">
        <f aca="false">IF(COUNT(S39:U39)=0,"-",SUM(S39:U39))</f>
        <v>1054</v>
      </c>
      <c r="AA39" s="11" t="n">
        <f aca="false">IF(AND(ISNUMBER(Y39),Y39&gt;0),((Y39-N(Z39))/Y39)*100,"-")</f>
        <v>43.6664885088188</v>
      </c>
      <c r="AB39" s="9" t="s">
        <v>82</v>
      </c>
    </row>
    <row r="40" customFormat="false" ht="15" hidden="false" customHeight="false" outlineLevel="0" collapsed="false">
      <c r="A40" s="9" t="n">
        <v>249</v>
      </c>
      <c r="B40" s="9" t="s">
        <v>186</v>
      </c>
      <c r="C40" s="9" t="s">
        <v>187</v>
      </c>
      <c r="D40" s="9" t="n">
        <v>654</v>
      </c>
      <c r="E40" s="9" t="n">
        <v>4.9</v>
      </c>
      <c r="F40" s="9" t="s">
        <v>188</v>
      </c>
      <c r="G40" s="9" t="s">
        <v>189</v>
      </c>
      <c r="H40" s="9" t="s">
        <v>79</v>
      </c>
      <c r="I40" s="9" t="s">
        <v>190</v>
      </c>
      <c r="J40" s="10" t="n">
        <v>230191</v>
      </c>
      <c r="K40" s="10" t="n">
        <v>250436</v>
      </c>
      <c r="L40" s="10" t="n">
        <v>250089</v>
      </c>
      <c r="M40" s="10" t="s">
        <v>81</v>
      </c>
      <c r="N40" s="10" t="s">
        <v>81</v>
      </c>
      <c r="O40" s="10" t="s">
        <v>81</v>
      </c>
      <c r="P40" s="10" t="n">
        <v>20823</v>
      </c>
      <c r="Q40" s="10" t="n">
        <v>9998</v>
      </c>
      <c r="R40" s="10" t="n">
        <v>0</v>
      </c>
      <c r="S40" s="10" t="n">
        <v>0</v>
      </c>
      <c r="T40" s="10" t="n">
        <v>0</v>
      </c>
      <c r="U40" s="10" t="n">
        <v>1798</v>
      </c>
      <c r="V40" s="9" t="s">
        <v>81</v>
      </c>
      <c r="W40" s="9" t="s">
        <v>81</v>
      </c>
      <c r="X40" s="9" t="s">
        <v>81</v>
      </c>
      <c r="Y40" s="10" t="n">
        <f aca="false">IF(COUNT(P40:R40)=0,"-",SUM(P40:R40))</f>
        <v>30821</v>
      </c>
      <c r="Z40" s="10" t="n">
        <f aca="false">IF(COUNT(S40:U40)=0,"-",SUM(S40:U40))</f>
        <v>1798</v>
      </c>
      <c r="AA40" s="11" t="n">
        <f aca="false">IF(AND(ISNUMBER(Y40),Y40&gt;0),((Y40-N(Z40))/Y40)*100,"-")</f>
        <v>94.1663151747185</v>
      </c>
      <c r="AB40" s="9" t="s">
        <v>82</v>
      </c>
    </row>
    <row r="41" customFormat="false" ht="15" hidden="false" customHeight="false" outlineLevel="0" collapsed="false">
      <c r="A41" s="9" t="n">
        <v>250</v>
      </c>
      <c r="B41" s="9" t="s">
        <v>191</v>
      </c>
      <c r="C41" s="9" t="s">
        <v>192</v>
      </c>
      <c r="D41" s="9" t="n">
        <v>1010</v>
      </c>
      <c r="E41" s="9" t="n">
        <v>5</v>
      </c>
      <c r="F41" s="9" t="s">
        <v>193</v>
      </c>
      <c r="G41" s="9" t="s">
        <v>194</v>
      </c>
      <c r="H41" s="9" t="s">
        <v>92</v>
      </c>
      <c r="I41" s="9" t="s">
        <v>80</v>
      </c>
      <c r="J41" s="10" t="n">
        <v>2807</v>
      </c>
      <c r="K41" s="10" t="n">
        <v>5661</v>
      </c>
      <c r="L41" s="10" t="n">
        <v>6016</v>
      </c>
      <c r="M41" s="10" t="n">
        <v>744</v>
      </c>
      <c r="N41" s="10" t="n">
        <v>820</v>
      </c>
      <c r="O41" s="10" t="n">
        <v>-289</v>
      </c>
      <c r="P41" s="10" t="n">
        <v>597</v>
      </c>
      <c r="Q41" s="10" t="n">
        <v>447</v>
      </c>
      <c r="R41" s="10" t="n">
        <v>0</v>
      </c>
      <c r="S41" s="10" t="n">
        <v>0</v>
      </c>
      <c r="T41" s="10" t="n">
        <v>0</v>
      </c>
      <c r="U41" s="10" t="n">
        <v>484</v>
      </c>
      <c r="V41" s="9" t="s">
        <v>81</v>
      </c>
      <c r="W41" s="9" t="s">
        <v>81</v>
      </c>
      <c r="X41" s="9" t="s">
        <v>81</v>
      </c>
      <c r="Y41" s="10" t="n">
        <f aca="false">IF(COUNT(P41:R41)=0,"-",SUM(P41:R41))</f>
        <v>1044</v>
      </c>
      <c r="Z41" s="10" t="n">
        <f aca="false">IF(COUNT(S41:U41)=0,"-",SUM(S41:U41))</f>
        <v>484</v>
      </c>
      <c r="AA41" s="11" t="n">
        <f aca="false">IF(AND(ISNUMBER(Y41),Y41&gt;0),((Y41-N(Z41))/Y41)*100,"-")</f>
        <v>53.639846743295</v>
      </c>
      <c r="AB41" s="9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75"/>
    <col collapsed="false" customWidth="true" hidden="false" outlineLevel="0" max="2" min="2" style="0" width="21.25"/>
    <col collapsed="false" customWidth="true" hidden="false" outlineLevel="0" max="4" min="4" style="0" width="27.5"/>
    <col collapsed="false" customWidth="true" hidden="false" outlineLevel="0" max="13" min="13" style="0" width="41.25"/>
  </cols>
  <sheetData>
    <row r="1" customFormat="false" ht="15" hidden="false" customHeight="false" outlineLevel="0" collapsed="false">
      <c r="A1" s="8" t="s">
        <v>19</v>
      </c>
      <c r="B1" s="8" t="s">
        <v>54</v>
      </c>
      <c r="C1" s="8" t="s">
        <v>195</v>
      </c>
      <c r="D1" s="8" t="s">
        <v>21</v>
      </c>
      <c r="E1" s="8" t="s">
        <v>22</v>
      </c>
      <c r="F1" s="8" t="s">
        <v>196</v>
      </c>
      <c r="G1" s="8" t="s">
        <v>197</v>
      </c>
      <c r="H1" s="8" t="s">
        <v>198</v>
      </c>
      <c r="I1" s="8" t="s">
        <v>199</v>
      </c>
      <c r="J1" s="8" t="s">
        <v>200</v>
      </c>
      <c r="K1" s="8" t="s">
        <v>201</v>
      </c>
      <c r="L1" s="8" t="s">
        <v>202</v>
      </c>
      <c r="M1" s="8" t="s">
        <v>203</v>
      </c>
    </row>
    <row r="2" customFormat="false" ht="15" hidden="false" customHeight="false" outlineLevel="0" collapsed="false">
      <c r="A2" s="9" t="n">
        <v>163</v>
      </c>
      <c r="B2" s="9" t="s">
        <v>75</v>
      </c>
      <c r="C2" s="9" t="n">
        <v>2023</v>
      </c>
      <c r="D2" s="9" t="s">
        <v>77</v>
      </c>
      <c r="E2" s="9" t="s">
        <v>78</v>
      </c>
      <c r="F2" s="10" t="n">
        <v>15555</v>
      </c>
      <c r="G2" s="10" t="s">
        <v>81</v>
      </c>
      <c r="H2" s="10" t="n">
        <v>460</v>
      </c>
      <c r="I2" s="10" t="n">
        <v>0</v>
      </c>
      <c r="J2" s="9" t="s">
        <v>81</v>
      </c>
      <c r="K2" s="9" t="s">
        <v>204</v>
      </c>
      <c r="L2" s="9" t="n">
        <v>21516720</v>
      </c>
      <c r="M2" s="9" t="s">
        <v>205</v>
      </c>
    </row>
    <row r="3" customFormat="false" ht="15" hidden="false" customHeight="false" outlineLevel="0" collapsed="false">
      <c r="A3" s="9" t="n">
        <v>163</v>
      </c>
      <c r="B3" s="9" t="s">
        <v>75</v>
      </c>
      <c r="C3" s="9" t="n">
        <v>2024</v>
      </c>
      <c r="D3" s="9" t="s">
        <v>77</v>
      </c>
      <c r="E3" s="9" t="s">
        <v>78</v>
      </c>
      <c r="F3" s="10" t="n">
        <v>10864</v>
      </c>
      <c r="G3" s="10" t="s">
        <v>81</v>
      </c>
      <c r="H3" s="10" t="n">
        <v>471</v>
      </c>
      <c r="I3" s="10" t="n">
        <v>0</v>
      </c>
      <c r="J3" s="9" t="s">
        <v>81</v>
      </c>
      <c r="K3" s="9" t="s">
        <v>206</v>
      </c>
      <c r="L3" s="9" t="n">
        <v>24430773</v>
      </c>
      <c r="M3" s="9" t="s">
        <v>205</v>
      </c>
    </row>
    <row r="4" customFormat="false" ht="15" hidden="false" customHeight="false" outlineLevel="0" collapsed="false">
      <c r="A4" s="9" t="n">
        <v>163</v>
      </c>
      <c r="B4" s="9" t="s">
        <v>75</v>
      </c>
      <c r="C4" s="9" t="n">
        <v>2025</v>
      </c>
      <c r="D4" s="9" t="s">
        <v>77</v>
      </c>
      <c r="E4" s="9" t="s">
        <v>78</v>
      </c>
      <c r="F4" s="10" t="n">
        <v>9202</v>
      </c>
      <c r="G4" s="10" t="s">
        <v>81</v>
      </c>
      <c r="H4" s="10" t="n">
        <v>258</v>
      </c>
      <c r="I4" s="10" t="n">
        <v>0</v>
      </c>
      <c r="J4" s="9" t="s">
        <v>81</v>
      </c>
      <c r="K4" s="9" t="s">
        <v>207</v>
      </c>
      <c r="L4" s="9" t="n">
        <v>28591332</v>
      </c>
      <c r="M4" s="9" t="s">
        <v>205</v>
      </c>
    </row>
    <row r="5" customFormat="false" ht="15" hidden="false" customHeight="false" outlineLevel="0" collapsed="false">
      <c r="A5" s="9" t="n">
        <v>165</v>
      </c>
      <c r="B5" s="9" t="s">
        <v>27</v>
      </c>
      <c r="C5" s="9" t="n">
        <v>2023</v>
      </c>
      <c r="D5" s="9" t="s">
        <v>28</v>
      </c>
      <c r="E5" s="9" t="s">
        <v>29</v>
      </c>
      <c r="F5" s="10" t="n">
        <v>155745210</v>
      </c>
      <c r="G5" s="10" t="n">
        <v>27475435</v>
      </c>
      <c r="H5" s="10" t="n">
        <v>14174325</v>
      </c>
      <c r="I5" s="10" t="n">
        <v>0</v>
      </c>
      <c r="J5" s="9" t="s">
        <v>81</v>
      </c>
      <c r="K5" s="9" t="s">
        <v>208</v>
      </c>
      <c r="L5" s="9" t="n">
        <v>20812924</v>
      </c>
      <c r="M5" s="9" t="s">
        <v>209</v>
      </c>
    </row>
    <row r="6" customFormat="false" ht="15" hidden="false" customHeight="false" outlineLevel="0" collapsed="false">
      <c r="A6" s="9" t="n">
        <v>165</v>
      </c>
      <c r="B6" s="9" t="s">
        <v>27</v>
      </c>
      <c r="C6" s="9" t="n">
        <v>2024</v>
      </c>
      <c r="D6" s="9" t="s">
        <v>28</v>
      </c>
      <c r="E6" s="9" t="s">
        <v>29</v>
      </c>
      <c r="F6" s="10" t="n">
        <v>187357965</v>
      </c>
      <c r="G6" s="10" t="n">
        <v>35440526</v>
      </c>
      <c r="H6" s="10" t="n">
        <v>16959735</v>
      </c>
      <c r="I6" s="10" t="n">
        <v>0</v>
      </c>
      <c r="J6" s="9" t="s">
        <v>81</v>
      </c>
      <c r="K6" s="9" t="s">
        <v>210</v>
      </c>
      <c r="L6" s="9" t="n">
        <v>24648516</v>
      </c>
      <c r="M6" s="9" t="s">
        <v>209</v>
      </c>
    </row>
    <row r="7" customFormat="false" ht="15" hidden="false" customHeight="false" outlineLevel="0" collapsed="false">
      <c r="A7" s="9" t="n">
        <v>165</v>
      </c>
      <c r="B7" s="9" t="s">
        <v>27</v>
      </c>
      <c r="C7" s="9" t="n">
        <v>2025</v>
      </c>
      <c r="D7" s="9" t="s">
        <v>28</v>
      </c>
      <c r="E7" s="9" t="s">
        <v>29</v>
      </c>
      <c r="F7" s="10" t="n">
        <v>218572895</v>
      </c>
      <c r="G7" s="10" t="n">
        <v>37855764</v>
      </c>
      <c r="H7" s="10" t="n">
        <v>14405355</v>
      </c>
      <c r="I7" s="10" t="n">
        <v>0</v>
      </c>
      <c r="J7" s="9" t="s">
        <v>81</v>
      </c>
      <c r="K7" s="9" t="s">
        <v>211</v>
      </c>
      <c r="L7" s="9" t="n">
        <v>28271327</v>
      </c>
      <c r="M7" s="9" t="s">
        <v>209</v>
      </c>
    </row>
    <row r="8" customFormat="false" ht="15" hidden="false" customHeight="false" outlineLevel="0" collapsed="false">
      <c r="A8" s="9" t="n">
        <v>172</v>
      </c>
      <c r="B8" s="9" t="s">
        <v>27</v>
      </c>
      <c r="C8" s="9" t="n">
        <v>2023</v>
      </c>
      <c r="D8" s="9" t="s">
        <v>28</v>
      </c>
      <c r="E8" s="9" t="s">
        <v>29</v>
      </c>
      <c r="F8" s="10" t="n">
        <v>155745210</v>
      </c>
      <c r="G8" s="10" t="n">
        <v>27475435</v>
      </c>
      <c r="H8" s="10" t="n">
        <v>14174325</v>
      </c>
      <c r="I8" s="10" t="n">
        <v>0</v>
      </c>
      <c r="J8" s="9" t="s">
        <v>81</v>
      </c>
      <c r="K8" s="9" t="s">
        <v>208</v>
      </c>
      <c r="L8" s="9" t="n">
        <v>20812924</v>
      </c>
      <c r="M8" s="9" t="s">
        <v>209</v>
      </c>
    </row>
    <row r="9" customFormat="false" ht="15" hidden="false" customHeight="false" outlineLevel="0" collapsed="false">
      <c r="A9" s="9" t="n">
        <v>172</v>
      </c>
      <c r="B9" s="9" t="s">
        <v>27</v>
      </c>
      <c r="C9" s="9" t="n">
        <v>2024</v>
      </c>
      <c r="D9" s="9" t="s">
        <v>28</v>
      </c>
      <c r="E9" s="9" t="s">
        <v>29</v>
      </c>
      <c r="F9" s="10" t="n">
        <v>187357965</v>
      </c>
      <c r="G9" s="10" t="n">
        <v>35440526</v>
      </c>
      <c r="H9" s="10" t="n">
        <v>16959735</v>
      </c>
      <c r="I9" s="10" t="n">
        <v>0</v>
      </c>
      <c r="J9" s="9" t="s">
        <v>81</v>
      </c>
      <c r="K9" s="9" t="s">
        <v>210</v>
      </c>
      <c r="L9" s="9" t="n">
        <v>24648516</v>
      </c>
      <c r="M9" s="9" t="s">
        <v>209</v>
      </c>
    </row>
    <row r="10" customFormat="false" ht="15" hidden="false" customHeight="false" outlineLevel="0" collapsed="false">
      <c r="A10" s="9" t="n">
        <v>172</v>
      </c>
      <c r="B10" s="9" t="s">
        <v>27</v>
      </c>
      <c r="C10" s="9" t="n">
        <v>2025</v>
      </c>
      <c r="D10" s="9" t="s">
        <v>28</v>
      </c>
      <c r="E10" s="9" t="s">
        <v>29</v>
      </c>
      <c r="F10" s="10" t="n">
        <v>218572895</v>
      </c>
      <c r="G10" s="10" t="n">
        <v>37855764</v>
      </c>
      <c r="H10" s="10" t="n">
        <v>14405355</v>
      </c>
      <c r="I10" s="10" t="n">
        <v>0</v>
      </c>
      <c r="J10" s="9" t="s">
        <v>81</v>
      </c>
      <c r="K10" s="9" t="s">
        <v>211</v>
      </c>
      <c r="L10" s="9" t="n">
        <v>28271327</v>
      </c>
      <c r="M10" s="9" t="s">
        <v>209</v>
      </c>
    </row>
    <row r="11" customFormat="false" ht="15" hidden="false" customHeight="false" outlineLevel="0" collapsed="false">
      <c r="A11" s="9" t="n">
        <v>180</v>
      </c>
      <c r="B11" s="9" t="s">
        <v>88</v>
      </c>
      <c r="C11" s="9" t="n">
        <v>2023</v>
      </c>
      <c r="D11" s="9" t="s">
        <v>90</v>
      </c>
      <c r="E11" s="9" t="s">
        <v>91</v>
      </c>
      <c r="F11" s="10" t="n">
        <v>2616</v>
      </c>
      <c r="G11" s="10" t="s">
        <v>81</v>
      </c>
      <c r="H11" s="10" t="n">
        <v>0</v>
      </c>
      <c r="I11" s="10" t="n">
        <v>101</v>
      </c>
      <c r="J11" s="9" t="s">
        <v>81</v>
      </c>
      <c r="K11" s="9" t="s">
        <v>212</v>
      </c>
      <c r="L11" s="9" t="n">
        <v>20361788</v>
      </c>
      <c r="M11" s="9" t="s">
        <v>213</v>
      </c>
    </row>
    <row r="12" customFormat="false" ht="15" hidden="false" customHeight="false" outlineLevel="0" collapsed="false">
      <c r="A12" s="9" t="n">
        <v>180</v>
      </c>
      <c r="B12" s="9" t="s">
        <v>88</v>
      </c>
      <c r="C12" s="9" t="n">
        <v>2024</v>
      </c>
      <c r="D12" s="9" t="s">
        <v>90</v>
      </c>
      <c r="E12" s="9" t="s">
        <v>91</v>
      </c>
      <c r="F12" s="10" t="n">
        <v>4354</v>
      </c>
      <c r="G12" s="10" t="s">
        <v>81</v>
      </c>
      <c r="H12" s="10" t="n">
        <v>1687</v>
      </c>
      <c r="I12" s="10" t="n">
        <v>0</v>
      </c>
      <c r="J12" s="9" t="s">
        <v>81</v>
      </c>
      <c r="K12" s="9" t="s">
        <v>214</v>
      </c>
      <c r="L12" s="9" t="n">
        <v>24823948</v>
      </c>
      <c r="M12" s="9" t="s">
        <v>213</v>
      </c>
    </row>
    <row r="13" customFormat="false" ht="15" hidden="false" customHeight="false" outlineLevel="0" collapsed="false">
      <c r="A13" s="9" t="n">
        <v>180</v>
      </c>
      <c r="B13" s="9" t="s">
        <v>88</v>
      </c>
      <c r="C13" s="9" t="n">
        <v>2025</v>
      </c>
      <c r="D13" s="9" t="s">
        <v>90</v>
      </c>
      <c r="E13" s="9" t="s">
        <v>91</v>
      </c>
      <c r="F13" s="10" t="n">
        <v>3992</v>
      </c>
      <c r="G13" s="10" t="s">
        <v>81</v>
      </c>
      <c r="H13" s="10" t="n">
        <v>823</v>
      </c>
      <c r="I13" s="10" t="n">
        <v>0</v>
      </c>
      <c r="J13" s="9" t="s">
        <v>81</v>
      </c>
      <c r="K13" s="9" t="s">
        <v>215</v>
      </c>
      <c r="L13" s="9" t="n">
        <v>27650241</v>
      </c>
      <c r="M13" s="9" t="s">
        <v>213</v>
      </c>
    </row>
    <row r="14" customFormat="false" ht="15" hidden="false" customHeight="false" outlineLevel="0" collapsed="false">
      <c r="A14" s="9" t="n">
        <v>183</v>
      </c>
      <c r="B14" s="9" t="s">
        <v>93</v>
      </c>
      <c r="C14" s="9" t="n">
        <v>2023</v>
      </c>
      <c r="D14" s="9" t="s">
        <v>95</v>
      </c>
      <c r="E14" s="9" t="s">
        <v>96</v>
      </c>
      <c r="F14" s="10" t="n">
        <v>85124</v>
      </c>
      <c r="G14" s="10" t="s">
        <v>81</v>
      </c>
      <c r="H14" s="10" t="n">
        <v>6566</v>
      </c>
      <c r="I14" s="10" t="n">
        <v>0</v>
      </c>
      <c r="J14" s="9" t="s">
        <v>81</v>
      </c>
      <c r="K14" s="9" t="s">
        <v>216</v>
      </c>
      <c r="L14" s="9" t="n">
        <v>21844148</v>
      </c>
      <c r="M14" s="9" t="s">
        <v>217</v>
      </c>
    </row>
    <row r="15" customFormat="false" ht="15" hidden="false" customHeight="false" outlineLevel="0" collapsed="false">
      <c r="A15" s="9" t="n">
        <v>183</v>
      </c>
      <c r="B15" s="9" t="s">
        <v>93</v>
      </c>
      <c r="C15" s="9" t="n">
        <v>2024</v>
      </c>
      <c r="D15" s="9" t="s">
        <v>95</v>
      </c>
      <c r="E15" s="9" t="s">
        <v>96</v>
      </c>
      <c r="F15" s="10" t="n">
        <v>48614</v>
      </c>
      <c r="G15" s="10" t="s">
        <v>81</v>
      </c>
      <c r="H15" s="10" t="n">
        <v>10561</v>
      </c>
      <c r="I15" s="10" t="n">
        <v>0</v>
      </c>
      <c r="J15" s="9" t="s">
        <v>81</v>
      </c>
      <c r="K15" s="9" t="s">
        <v>210</v>
      </c>
      <c r="L15" s="9" t="n">
        <v>24659635</v>
      </c>
      <c r="M15" s="9" t="s">
        <v>217</v>
      </c>
    </row>
    <row r="16" customFormat="false" ht="15" hidden="false" customHeight="false" outlineLevel="0" collapsed="false">
      <c r="A16" s="9" t="n">
        <v>183</v>
      </c>
      <c r="B16" s="9" t="s">
        <v>93</v>
      </c>
      <c r="C16" s="9" t="n">
        <v>2025</v>
      </c>
      <c r="D16" s="9" t="s">
        <v>95</v>
      </c>
      <c r="E16" s="9" t="s">
        <v>96</v>
      </c>
      <c r="F16" s="10" t="n">
        <v>6</v>
      </c>
      <c r="G16" s="10" t="s">
        <v>81</v>
      </c>
      <c r="H16" s="10" t="n">
        <v>0</v>
      </c>
      <c r="I16" s="10" t="n">
        <v>4797</v>
      </c>
      <c r="J16" s="9" t="s">
        <v>81</v>
      </c>
      <c r="K16" s="9" t="s">
        <v>218</v>
      </c>
      <c r="L16" s="9" t="n">
        <v>29573496</v>
      </c>
      <c r="M16" s="9" t="s">
        <v>217</v>
      </c>
    </row>
    <row r="17" customFormat="false" ht="15" hidden="false" customHeight="false" outlineLevel="0" collapsed="false">
      <c r="A17" s="9" t="n">
        <v>184</v>
      </c>
      <c r="B17" s="9" t="s">
        <v>97</v>
      </c>
      <c r="C17" s="9" t="n">
        <v>2023</v>
      </c>
      <c r="D17" s="9" t="s">
        <v>99</v>
      </c>
      <c r="E17" s="9" t="s">
        <v>100</v>
      </c>
      <c r="F17" s="10" t="n">
        <v>74455646</v>
      </c>
      <c r="G17" s="10" t="n">
        <v>15131005</v>
      </c>
      <c r="H17" s="10" t="n">
        <v>1799543</v>
      </c>
      <c r="I17" s="10" t="n">
        <v>0</v>
      </c>
      <c r="J17" s="9" t="s">
        <v>81</v>
      </c>
      <c r="K17" s="9" t="s">
        <v>219</v>
      </c>
      <c r="L17" s="9" t="n">
        <v>22147779</v>
      </c>
      <c r="M17" s="9" t="s">
        <v>220</v>
      </c>
    </row>
    <row r="18" customFormat="false" ht="15" hidden="false" customHeight="false" outlineLevel="0" collapsed="false">
      <c r="A18" s="9" t="n">
        <v>184</v>
      </c>
      <c r="B18" s="9" t="s">
        <v>97</v>
      </c>
      <c r="C18" s="9" t="n">
        <v>2024</v>
      </c>
      <c r="D18" s="9" t="s">
        <v>99</v>
      </c>
      <c r="E18" s="9" t="s">
        <v>100</v>
      </c>
      <c r="F18" s="10" t="n">
        <v>90264478</v>
      </c>
      <c r="G18" s="10" t="n">
        <v>17291096</v>
      </c>
      <c r="H18" s="10" t="n">
        <v>1634622</v>
      </c>
      <c r="I18" s="10" t="n">
        <v>0</v>
      </c>
      <c r="J18" s="9" t="s">
        <v>81</v>
      </c>
      <c r="K18" s="9" t="s">
        <v>221</v>
      </c>
      <c r="L18" s="9" t="n">
        <v>25161767</v>
      </c>
      <c r="M18" s="9" t="s">
        <v>220</v>
      </c>
    </row>
    <row r="19" customFormat="false" ht="15" hidden="false" customHeight="false" outlineLevel="0" collapsed="false">
      <c r="A19" s="9" t="n">
        <v>184</v>
      </c>
      <c r="B19" s="9" t="s">
        <v>97</v>
      </c>
      <c r="C19" s="9" t="n">
        <v>2025</v>
      </c>
      <c r="D19" s="9" t="s">
        <v>99</v>
      </c>
      <c r="E19" s="9" t="s">
        <v>100</v>
      </c>
      <c r="F19" s="10" t="n">
        <v>103954806</v>
      </c>
      <c r="G19" s="10" t="n">
        <v>17849571</v>
      </c>
      <c r="H19" s="10" t="n">
        <v>637589</v>
      </c>
      <c r="I19" s="10" t="n">
        <v>0</v>
      </c>
      <c r="J19" s="9" t="s">
        <v>81</v>
      </c>
      <c r="K19" s="9" t="s">
        <v>218</v>
      </c>
      <c r="L19" s="9" t="n">
        <v>30033406</v>
      </c>
      <c r="M19" s="9" t="s">
        <v>220</v>
      </c>
    </row>
    <row r="20" customFormat="false" ht="15" hidden="false" customHeight="false" outlineLevel="0" collapsed="false">
      <c r="A20" s="9" t="n">
        <v>185</v>
      </c>
      <c r="B20" s="9" t="s">
        <v>102</v>
      </c>
      <c r="C20" s="9" t="n">
        <v>2023</v>
      </c>
      <c r="D20" s="9" t="s">
        <v>104</v>
      </c>
      <c r="E20" s="9" t="s">
        <v>105</v>
      </c>
      <c r="F20" s="10" t="n">
        <v>75067</v>
      </c>
      <c r="G20" s="10" t="s">
        <v>81</v>
      </c>
      <c r="H20" s="10" t="n">
        <v>0</v>
      </c>
      <c r="I20" s="10" t="n">
        <v>13678</v>
      </c>
      <c r="J20" s="9" t="s">
        <v>81</v>
      </c>
      <c r="K20" s="9" t="s">
        <v>222</v>
      </c>
      <c r="L20" s="9" t="n">
        <v>21263108</v>
      </c>
      <c r="M20" s="9" t="s">
        <v>223</v>
      </c>
    </row>
    <row r="21" customFormat="false" ht="15" hidden="false" customHeight="false" outlineLevel="0" collapsed="false">
      <c r="A21" s="9" t="n">
        <v>185</v>
      </c>
      <c r="B21" s="9" t="s">
        <v>102</v>
      </c>
      <c r="C21" s="9" t="n">
        <v>2024</v>
      </c>
      <c r="D21" s="9" t="s">
        <v>104</v>
      </c>
      <c r="E21" s="9" t="s">
        <v>105</v>
      </c>
      <c r="F21" s="10" t="n">
        <v>156359</v>
      </c>
      <c r="G21" s="10" t="s">
        <v>81</v>
      </c>
      <c r="H21" s="10" t="n">
        <v>49593</v>
      </c>
      <c r="I21" s="10" t="n">
        <v>0</v>
      </c>
      <c r="J21" s="9" t="s">
        <v>81</v>
      </c>
      <c r="K21" s="9" t="s">
        <v>210</v>
      </c>
      <c r="L21" s="9" t="n">
        <v>24578363</v>
      </c>
      <c r="M21" s="9" t="s">
        <v>223</v>
      </c>
    </row>
    <row r="22" customFormat="false" ht="15" hidden="false" customHeight="false" outlineLevel="0" collapsed="false">
      <c r="A22" s="9" t="n">
        <v>185</v>
      </c>
      <c r="B22" s="9" t="s">
        <v>102</v>
      </c>
      <c r="C22" s="9" t="n">
        <v>2025</v>
      </c>
      <c r="D22" s="9" t="s">
        <v>104</v>
      </c>
      <c r="E22" s="9" t="s">
        <v>105</v>
      </c>
      <c r="F22" s="10" t="n">
        <v>117703</v>
      </c>
      <c r="G22" s="10" t="s">
        <v>81</v>
      </c>
      <c r="H22" s="10" t="n">
        <v>19567</v>
      </c>
      <c r="I22" s="10" t="n">
        <v>0</v>
      </c>
      <c r="J22" s="9" t="s">
        <v>81</v>
      </c>
      <c r="K22" s="9" t="s">
        <v>224</v>
      </c>
      <c r="L22" s="9" t="n">
        <v>27914731</v>
      </c>
      <c r="M22" s="9" t="s">
        <v>223</v>
      </c>
    </row>
    <row r="23" customFormat="false" ht="15" hidden="false" customHeight="false" outlineLevel="0" collapsed="false">
      <c r="A23" s="9" t="n">
        <v>186</v>
      </c>
      <c r="B23" s="9" t="s">
        <v>93</v>
      </c>
      <c r="C23" s="9" t="n">
        <v>2023</v>
      </c>
      <c r="D23" s="9" t="s">
        <v>95</v>
      </c>
      <c r="E23" s="9" t="s">
        <v>96</v>
      </c>
      <c r="F23" s="10" t="n">
        <v>85124</v>
      </c>
      <c r="G23" s="10" t="s">
        <v>81</v>
      </c>
      <c r="H23" s="10" t="n">
        <v>6566</v>
      </c>
      <c r="I23" s="10" t="n">
        <v>0</v>
      </c>
      <c r="J23" s="9" t="s">
        <v>81</v>
      </c>
      <c r="K23" s="9" t="s">
        <v>216</v>
      </c>
      <c r="L23" s="9" t="n">
        <v>21844148</v>
      </c>
      <c r="M23" s="9" t="s">
        <v>217</v>
      </c>
    </row>
    <row r="24" customFormat="false" ht="15" hidden="false" customHeight="false" outlineLevel="0" collapsed="false">
      <c r="A24" s="9" t="n">
        <v>186</v>
      </c>
      <c r="B24" s="9" t="s">
        <v>93</v>
      </c>
      <c r="C24" s="9" t="n">
        <v>2024</v>
      </c>
      <c r="D24" s="9" t="s">
        <v>95</v>
      </c>
      <c r="E24" s="9" t="s">
        <v>96</v>
      </c>
      <c r="F24" s="10" t="n">
        <v>48614</v>
      </c>
      <c r="G24" s="10" t="s">
        <v>81</v>
      </c>
      <c r="H24" s="10" t="n">
        <v>10561</v>
      </c>
      <c r="I24" s="10" t="n">
        <v>0</v>
      </c>
      <c r="J24" s="9" t="s">
        <v>81</v>
      </c>
      <c r="K24" s="9" t="s">
        <v>210</v>
      </c>
      <c r="L24" s="9" t="n">
        <v>24659635</v>
      </c>
      <c r="M24" s="9" t="s">
        <v>217</v>
      </c>
    </row>
    <row r="25" customFormat="false" ht="15" hidden="false" customHeight="false" outlineLevel="0" collapsed="false">
      <c r="A25" s="9" t="n">
        <v>186</v>
      </c>
      <c r="B25" s="9" t="s">
        <v>93</v>
      </c>
      <c r="C25" s="9" t="n">
        <v>2025</v>
      </c>
      <c r="D25" s="9" t="s">
        <v>95</v>
      </c>
      <c r="E25" s="9" t="s">
        <v>96</v>
      </c>
      <c r="F25" s="10" t="n">
        <v>6</v>
      </c>
      <c r="G25" s="10" t="s">
        <v>81</v>
      </c>
      <c r="H25" s="10" t="n">
        <v>0</v>
      </c>
      <c r="I25" s="10" t="n">
        <v>4797</v>
      </c>
      <c r="J25" s="9" t="s">
        <v>81</v>
      </c>
      <c r="K25" s="9" t="s">
        <v>218</v>
      </c>
      <c r="L25" s="9" t="n">
        <v>29573496</v>
      </c>
      <c r="M25" s="9" t="s">
        <v>217</v>
      </c>
    </row>
    <row r="26" customFormat="false" ht="15" hidden="false" customHeight="false" outlineLevel="0" collapsed="false">
      <c r="A26" s="9" t="n">
        <v>187</v>
      </c>
      <c r="B26" s="9" t="s">
        <v>27</v>
      </c>
      <c r="C26" s="9" t="n">
        <v>2023</v>
      </c>
      <c r="D26" s="9" t="s">
        <v>28</v>
      </c>
      <c r="E26" s="9" t="s">
        <v>29</v>
      </c>
      <c r="F26" s="10" t="n">
        <v>155745210</v>
      </c>
      <c r="G26" s="10" t="n">
        <v>27475435</v>
      </c>
      <c r="H26" s="10" t="n">
        <v>14174325</v>
      </c>
      <c r="I26" s="10" t="n">
        <v>0</v>
      </c>
      <c r="J26" s="9" t="s">
        <v>81</v>
      </c>
      <c r="K26" s="9" t="s">
        <v>208</v>
      </c>
      <c r="L26" s="9" t="n">
        <v>20812924</v>
      </c>
      <c r="M26" s="9" t="s">
        <v>209</v>
      </c>
    </row>
    <row r="27" customFormat="false" ht="15" hidden="false" customHeight="false" outlineLevel="0" collapsed="false">
      <c r="A27" s="9" t="n">
        <v>187</v>
      </c>
      <c r="B27" s="9" t="s">
        <v>27</v>
      </c>
      <c r="C27" s="9" t="n">
        <v>2024</v>
      </c>
      <c r="D27" s="9" t="s">
        <v>28</v>
      </c>
      <c r="E27" s="9" t="s">
        <v>29</v>
      </c>
      <c r="F27" s="10" t="n">
        <v>187357965</v>
      </c>
      <c r="G27" s="10" t="n">
        <v>35440526</v>
      </c>
      <c r="H27" s="10" t="n">
        <v>16959735</v>
      </c>
      <c r="I27" s="10" t="n">
        <v>0</v>
      </c>
      <c r="J27" s="9" t="s">
        <v>81</v>
      </c>
      <c r="K27" s="9" t="s">
        <v>210</v>
      </c>
      <c r="L27" s="9" t="n">
        <v>24648516</v>
      </c>
      <c r="M27" s="9" t="s">
        <v>209</v>
      </c>
    </row>
    <row r="28" customFormat="false" ht="15" hidden="false" customHeight="false" outlineLevel="0" collapsed="false">
      <c r="A28" s="9" t="n">
        <v>187</v>
      </c>
      <c r="B28" s="9" t="s">
        <v>27</v>
      </c>
      <c r="C28" s="9" t="n">
        <v>2025</v>
      </c>
      <c r="D28" s="9" t="s">
        <v>28</v>
      </c>
      <c r="E28" s="9" t="s">
        <v>29</v>
      </c>
      <c r="F28" s="10" t="n">
        <v>218572895</v>
      </c>
      <c r="G28" s="10" t="n">
        <v>37855764</v>
      </c>
      <c r="H28" s="10" t="n">
        <v>14405355</v>
      </c>
      <c r="I28" s="10" t="n">
        <v>0</v>
      </c>
      <c r="J28" s="9" t="s">
        <v>81</v>
      </c>
      <c r="K28" s="9" t="s">
        <v>211</v>
      </c>
      <c r="L28" s="9" t="n">
        <v>28271327</v>
      </c>
      <c r="M28" s="9" t="s">
        <v>209</v>
      </c>
    </row>
    <row r="29" customFormat="false" ht="15" hidden="false" customHeight="false" outlineLevel="0" collapsed="false">
      <c r="A29" s="9" t="n">
        <v>188</v>
      </c>
      <c r="B29" s="9" t="s">
        <v>34</v>
      </c>
      <c r="C29" s="9" t="n">
        <v>2023</v>
      </c>
      <c r="D29" s="9" t="s">
        <v>35</v>
      </c>
      <c r="E29" s="9" t="s">
        <v>36</v>
      </c>
      <c r="F29" s="10" t="s">
        <v>81</v>
      </c>
      <c r="G29" s="10" t="s">
        <v>81</v>
      </c>
      <c r="H29" s="10" t="s">
        <v>81</v>
      </c>
      <c r="I29" s="10" t="s">
        <v>81</v>
      </c>
      <c r="J29" s="9" t="s">
        <v>81</v>
      </c>
      <c r="K29" s="9" t="s">
        <v>81</v>
      </c>
      <c r="L29" s="9" t="s">
        <v>81</v>
      </c>
      <c r="M29" s="9" t="s">
        <v>81</v>
      </c>
    </row>
    <row r="30" customFormat="false" ht="15" hidden="false" customHeight="false" outlineLevel="0" collapsed="false">
      <c r="A30" s="9" t="n">
        <v>188</v>
      </c>
      <c r="B30" s="9" t="s">
        <v>34</v>
      </c>
      <c r="C30" s="9" t="n">
        <v>2024</v>
      </c>
      <c r="D30" s="9" t="s">
        <v>35</v>
      </c>
      <c r="E30" s="9" t="s">
        <v>36</v>
      </c>
      <c r="F30" s="10" t="n">
        <v>106727</v>
      </c>
      <c r="G30" s="10" t="s">
        <v>81</v>
      </c>
      <c r="H30" s="10" t="n">
        <v>485</v>
      </c>
      <c r="I30" s="10" t="n">
        <v>0</v>
      </c>
      <c r="J30" s="9" t="s">
        <v>81</v>
      </c>
      <c r="K30" s="9" t="s">
        <v>214</v>
      </c>
      <c r="L30" s="9" t="n">
        <v>25202889</v>
      </c>
      <c r="M30" s="9" t="s">
        <v>225</v>
      </c>
    </row>
    <row r="31" customFormat="false" ht="15" hidden="false" customHeight="false" outlineLevel="0" collapsed="false">
      <c r="A31" s="9" t="n">
        <v>188</v>
      </c>
      <c r="B31" s="9" t="s">
        <v>34</v>
      </c>
      <c r="C31" s="9" t="n">
        <v>2025</v>
      </c>
      <c r="D31" s="9" t="s">
        <v>35</v>
      </c>
      <c r="E31" s="9" t="s">
        <v>36</v>
      </c>
      <c r="F31" s="10" t="n">
        <v>209579</v>
      </c>
      <c r="G31" s="10" t="s">
        <v>81</v>
      </c>
      <c r="H31" s="10" t="n">
        <v>116</v>
      </c>
      <c r="I31" s="10" t="n">
        <v>0</v>
      </c>
      <c r="J31" s="9" t="s">
        <v>81</v>
      </c>
      <c r="K31" s="9" t="s">
        <v>207</v>
      </c>
      <c r="L31" s="9" t="n">
        <v>29067116</v>
      </c>
      <c r="M31" s="9" t="s">
        <v>225</v>
      </c>
    </row>
    <row r="32" customFormat="false" ht="15" hidden="false" customHeight="false" outlineLevel="0" collapsed="false">
      <c r="A32" s="9" t="n">
        <v>193</v>
      </c>
      <c r="B32" s="9" t="s">
        <v>112</v>
      </c>
      <c r="C32" s="9" t="n">
        <v>2023</v>
      </c>
      <c r="D32" s="9" t="s">
        <v>114</v>
      </c>
      <c r="E32" s="9" t="s">
        <v>115</v>
      </c>
      <c r="F32" s="10" t="n">
        <v>158039</v>
      </c>
      <c r="G32" s="10" t="n">
        <v>144977</v>
      </c>
      <c r="H32" s="10" t="n">
        <v>26406</v>
      </c>
      <c r="I32" s="10" t="n">
        <v>0</v>
      </c>
      <c r="J32" s="9" t="s">
        <v>81</v>
      </c>
      <c r="K32" s="9" t="s">
        <v>226</v>
      </c>
      <c r="L32" s="9" t="n">
        <v>22169609</v>
      </c>
      <c r="M32" s="9" t="s">
        <v>227</v>
      </c>
    </row>
    <row r="33" customFormat="false" ht="15" hidden="false" customHeight="false" outlineLevel="0" collapsed="false">
      <c r="A33" s="9" t="n">
        <v>193</v>
      </c>
      <c r="B33" s="9" t="s">
        <v>112</v>
      </c>
      <c r="C33" s="9" t="n">
        <v>2024</v>
      </c>
      <c r="D33" s="9" t="s">
        <v>114</v>
      </c>
      <c r="E33" s="9" t="s">
        <v>115</v>
      </c>
      <c r="F33" s="10" t="n">
        <v>173572</v>
      </c>
      <c r="G33" s="10" t="n">
        <v>173572</v>
      </c>
      <c r="H33" s="10" t="n">
        <v>16663</v>
      </c>
      <c r="I33" s="10" t="n">
        <v>0</v>
      </c>
      <c r="J33" s="9" t="s">
        <v>81</v>
      </c>
      <c r="K33" s="9" t="s">
        <v>228</v>
      </c>
      <c r="L33" s="9" t="n">
        <v>25060620</v>
      </c>
      <c r="M33" s="9" t="s">
        <v>227</v>
      </c>
    </row>
    <row r="34" customFormat="false" ht="15" hidden="false" customHeight="false" outlineLevel="0" collapsed="false">
      <c r="A34" s="9" t="n">
        <v>193</v>
      </c>
      <c r="B34" s="9" t="s">
        <v>112</v>
      </c>
      <c r="C34" s="9" t="n">
        <v>2025</v>
      </c>
      <c r="D34" s="9" t="s">
        <v>114</v>
      </c>
      <c r="E34" s="9" t="s">
        <v>115</v>
      </c>
      <c r="F34" s="10" t="n">
        <v>166280</v>
      </c>
      <c r="G34" s="10" t="n">
        <v>166280</v>
      </c>
      <c r="H34" s="10" t="n">
        <v>7125</v>
      </c>
      <c r="I34" s="10" t="n">
        <v>0</v>
      </c>
      <c r="J34" s="9" t="s">
        <v>81</v>
      </c>
      <c r="K34" s="9" t="s">
        <v>218</v>
      </c>
      <c r="L34" s="9" t="n">
        <v>29519626</v>
      </c>
      <c r="M34" s="9" t="s">
        <v>227</v>
      </c>
    </row>
    <row r="35" customFormat="false" ht="15" hidden="false" customHeight="false" outlineLevel="0" collapsed="false">
      <c r="A35" s="9" t="n">
        <v>194</v>
      </c>
      <c r="B35" s="9" t="s">
        <v>117</v>
      </c>
      <c r="C35" s="9" t="n">
        <v>2023</v>
      </c>
      <c r="D35" s="9" t="s">
        <v>119</v>
      </c>
      <c r="E35" s="9" t="s">
        <v>120</v>
      </c>
      <c r="F35" s="10" t="n">
        <v>24947</v>
      </c>
      <c r="G35" s="10" t="s">
        <v>81</v>
      </c>
      <c r="H35" s="10" t="n">
        <v>0</v>
      </c>
      <c r="I35" s="10" t="n">
        <v>6176</v>
      </c>
      <c r="J35" s="9" t="s">
        <v>81</v>
      </c>
      <c r="K35" s="9" t="s">
        <v>226</v>
      </c>
      <c r="L35" s="9" t="n">
        <v>22194704</v>
      </c>
      <c r="M35" s="9" t="s">
        <v>229</v>
      </c>
    </row>
    <row r="36" customFormat="false" ht="15" hidden="false" customHeight="false" outlineLevel="0" collapsed="false">
      <c r="A36" s="9" t="n">
        <v>194</v>
      </c>
      <c r="B36" s="9" t="s">
        <v>117</v>
      </c>
      <c r="C36" s="9" t="n">
        <v>2024</v>
      </c>
      <c r="D36" s="9" t="s">
        <v>119</v>
      </c>
      <c r="E36" s="9" t="s">
        <v>120</v>
      </c>
      <c r="F36" s="10" t="n">
        <v>135922</v>
      </c>
      <c r="G36" s="10" t="s">
        <v>81</v>
      </c>
      <c r="H36" s="10" t="n">
        <v>6636</v>
      </c>
      <c r="I36" s="10" t="n">
        <v>0</v>
      </c>
      <c r="J36" s="9" t="s">
        <v>81</v>
      </c>
      <c r="K36" s="9" t="s">
        <v>214</v>
      </c>
      <c r="L36" s="9" t="n">
        <v>25063215</v>
      </c>
      <c r="M36" s="9" t="s">
        <v>229</v>
      </c>
    </row>
    <row r="37" customFormat="false" ht="15" hidden="false" customHeight="false" outlineLevel="0" collapsed="false">
      <c r="A37" s="9" t="n">
        <v>194</v>
      </c>
      <c r="B37" s="9" t="s">
        <v>117</v>
      </c>
      <c r="C37" s="9" t="n">
        <v>2025</v>
      </c>
      <c r="D37" s="9" t="s">
        <v>119</v>
      </c>
      <c r="E37" s="9" t="s">
        <v>120</v>
      </c>
      <c r="F37" s="10" t="n">
        <v>140444</v>
      </c>
      <c r="G37" s="10" t="s">
        <v>81</v>
      </c>
      <c r="H37" s="10" t="n">
        <v>737</v>
      </c>
      <c r="I37" s="10" t="n">
        <v>0</v>
      </c>
      <c r="J37" s="9" t="s">
        <v>81</v>
      </c>
      <c r="K37" s="9" t="s">
        <v>211</v>
      </c>
      <c r="L37" s="9" t="n">
        <v>28255465</v>
      </c>
      <c r="M37" s="9" t="s">
        <v>229</v>
      </c>
    </row>
    <row r="38" customFormat="false" ht="15" hidden="false" customHeight="false" outlineLevel="0" collapsed="false">
      <c r="A38" s="9" t="n">
        <v>198</v>
      </c>
      <c r="B38" s="9" t="s">
        <v>30</v>
      </c>
      <c r="C38" s="9" t="n">
        <v>2023</v>
      </c>
      <c r="D38" s="9" t="s">
        <v>31</v>
      </c>
      <c r="E38" s="9" t="s">
        <v>32</v>
      </c>
      <c r="F38" s="10" t="n">
        <v>20168953</v>
      </c>
      <c r="G38" s="10" t="n">
        <v>14955521</v>
      </c>
      <c r="H38" s="10" t="n">
        <v>3539841</v>
      </c>
      <c r="I38" s="10" t="n">
        <v>0</v>
      </c>
      <c r="J38" s="9" t="s">
        <v>81</v>
      </c>
      <c r="K38" s="9" t="s">
        <v>230</v>
      </c>
      <c r="L38" s="9" t="n">
        <v>21767467</v>
      </c>
      <c r="M38" s="9" t="s">
        <v>231</v>
      </c>
    </row>
    <row r="39" customFormat="false" ht="15" hidden="false" customHeight="false" outlineLevel="0" collapsed="false">
      <c r="A39" s="9" t="n">
        <v>198</v>
      </c>
      <c r="B39" s="9" t="s">
        <v>30</v>
      </c>
      <c r="C39" s="9" t="n">
        <v>2024</v>
      </c>
      <c r="D39" s="9" t="s">
        <v>31</v>
      </c>
      <c r="E39" s="9" t="s">
        <v>32</v>
      </c>
      <c r="F39" s="10" t="n">
        <v>25930672</v>
      </c>
      <c r="G39" s="10" t="n">
        <v>20142693</v>
      </c>
      <c r="H39" s="10" t="n">
        <v>5678938</v>
      </c>
      <c r="I39" s="10" t="n">
        <v>0</v>
      </c>
      <c r="J39" s="9" t="s">
        <v>81</v>
      </c>
      <c r="K39" s="9" t="s">
        <v>232</v>
      </c>
      <c r="L39" s="9" t="n">
        <v>24845279</v>
      </c>
      <c r="M39" s="9" t="s">
        <v>231</v>
      </c>
    </row>
    <row r="40" customFormat="false" ht="15" hidden="false" customHeight="false" outlineLevel="0" collapsed="false">
      <c r="A40" s="9" t="n">
        <v>198</v>
      </c>
      <c r="B40" s="9" t="s">
        <v>30</v>
      </c>
      <c r="C40" s="9" t="n">
        <v>2025</v>
      </c>
      <c r="D40" s="9" t="s">
        <v>31</v>
      </c>
      <c r="E40" s="9" t="s">
        <v>32</v>
      </c>
      <c r="F40" s="10" t="n">
        <v>30813210</v>
      </c>
      <c r="G40" s="10" t="n">
        <v>24240245</v>
      </c>
      <c r="H40" s="10" t="n">
        <v>4115411</v>
      </c>
      <c r="I40" s="10" t="n">
        <v>0</v>
      </c>
      <c r="J40" s="9" t="s">
        <v>81</v>
      </c>
      <c r="K40" s="9" t="s">
        <v>233</v>
      </c>
      <c r="L40" s="9" t="n">
        <v>29314320</v>
      </c>
      <c r="M40" s="9" t="s">
        <v>231</v>
      </c>
    </row>
    <row r="41" customFormat="false" ht="15" hidden="false" customHeight="false" outlineLevel="0" collapsed="false">
      <c r="A41" s="9" t="n">
        <v>204</v>
      </c>
      <c r="B41" s="9" t="s">
        <v>123</v>
      </c>
      <c r="C41" s="9" t="n">
        <v>2023</v>
      </c>
      <c r="D41" s="9" t="s">
        <v>125</v>
      </c>
      <c r="E41" s="9" t="s">
        <v>126</v>
      </c>
      <c r="F41" s="10" t="n">
        <v>22401</v>
      </c>
      <c r="G41" s="10" t="s">
        <v>81</v>
      </c>
      <c r="H41" s="10" t="n">
        <v>600</v>
      </c>
      <c r="I41" s="10" t="n">
        <v>0</v>
      </c>
      <c r="J41" s="9" t="s">
        <v>81</v>
      </c>
      <c r="K41" s="9" t="s">
        <v>204</v>
      </c>
      <c r="L41" s="9" t="n">
        <v>21519782</v>
      </c>
      <c r="M41" s="9" t="s">
        <v>234</v>
      </c>
    </row>
    <row r="42" customFormat="false" ht="15" hidden="false" customHeight="false" outlineLevel="0" collapsed="false">
      <c r="A42" s="9" t="n">
        <v>204</v>
      </c>
      <c r="B42" s="9" t="s">
        <v>123</v>
      </c>
      <c r="C42" s="9" t="n">
        <v>2024</v>
      </c>
      <c r="D42" s="9" t="s">
        <v>125</v>
      </c>
      <c r="E42" s="9" t="s">
        <v>126</v>
      </c>
      <c r="F42" s="10" t="n">
        <v>9774</v>
      </c>
      <c r="G42" s="10" t="s">
        <v>81</v>
      </c>
      <c r="H42" s="10" t="n">
        <v>481</v>
      </c>
      <c r="I42" s="10" t="n">
        <v>0</v>
      </c>
      <c r="J42" s="9" t="s">
        <v>81</v>
      </c>
      <c r="K42" s="9" t="s">
        <v>235</v>
      </c>
      <c r="L42" s="9" t="n">
        <v>22819614</v>
      </c>
      <c r="M42" s="9" t="s">
        <v>234</v>
      </c>
    </row>
    <row r="43" customFormat="false" ht="15" hidden="false" customHeight="false" outlineLevel="0" collapsed="false">
      <c r="A43" s="9" t="n">
        <v>204</v>
      </c>
      <c r="B43" s="9" t="s">
        <v>123</v>
      </c>
      <c r="C43" s="9" t="n">
        <v>2025</v>
      </c>
      <c r="D43" s="9" t="s">
        <v>125</v>
      </c>
      <c r="E43" s="9" t="s">
        <v>126</v>
      </c>
      <c r="F43" s="10" t="s">
        <v>81</v>
      </c>
      <c r="G43" s="10" t="s">
        <v>81</v>
      </c>
      <c r="H43" s="10" t="s">
        <v>81</v>
      </c>
      <c r="I43" s="10" t="s">
        <v>81</v>
      </c>
      <c r="J43" s="9" t="s">
        <v>81</v>
      </c>
      <c r="K43" s="9" t="s">
        <v>81</v>
      </c>
      <c r="L43" s="9" t="s">
        <v>81</v>
      </c>
      <c r="M43" s="9" t="s">
        <v>81</v>
      </c>
    </row>
    <row r="44" customFormat="false" ht="15" hidden="false" customHeight="false" outlineLevel="0" collapsed="false">
      <c r="A44" s="9" t="n">
        <v>208</v>
      </c>
      <c r="B44" s="9" t="s">
        <v>127</v>
      </c>
      <c r="C44" s="9" t="n">
        <v>2023</v>
      </c>
      <c r="D44" s="9" t="s">
        <v>129</v>
      </c>
      <c r="E44" s="9" t="s">
        <v>130</v>
      </c>
      <c r="F44" s="10" t="n">
        <v>18792</v>
      </c>
      <c r="G44" s="10" t="s">
        <v>81</v>
      </c>
      <c r="H44" s="10" t="n">
        <v>336</v>
      </c>
      <c r="I44" s="10" t="n">
        <v>0</v>
      </c>
      <c r="J44" s="9" t="s">
        <v>81</v>
      </c>
      <c r="K44" s="9" t="s">
        <v>236</v>
      </c>
      <c r="L44" s="9" t="n">
        <v>21172299</v>
      </c>
      <c r="M44" s="9" t="s">
        <v>237</v>
      </c>
    </row>
    <row r="45" customFormat="false" ht="15" hidden="false" customHeight="false" outlineLevel="0" collapsed="false">
      <c r="A45" s="9" t="n">
        <v>208</v>
      </c>
      <c r="B45" s="9" t="s">
        <v>127</v>
      </c>
      <c r="C45" s="9" t="n">
        <v>2024</v>
      </c>
      <c r="D45" s="9" t="s">
        <v>129</v>
      </c>
      <c r="E45" s="9" t="s">
        <v>130</v>
      </c>
      <c r="F45" s="10" t="n">
        <v>20280</v>
      </c>
      <c r="G45" s="10" t="s">
        <v>81</v>
      </c>
      <c r="H45" s="10" t="n">
        <v>189</v>
      </c>
      <c r="I45" s="10" t="n">
        <v>0</v>
      </c>
      <c r="J45" s="9" t="s">
        <v>81</v>
      </c>
      <c r="K45" s="9" t="s">
        <v>238</v>
      </c>
      <c r="L45" s="9" t="n">
        <v>23490208</v>
      </c>
      <c r="M45" s="9" t="s">
        <v>237</v>
      </c>
    </row>
    <row r="46" customFormat="false" ht="15" hidden="false" customHeight="false" outlineLevel="0" collapsed="false">
      <c r="A46" s="9" t="n">
        <v>208</v>
      </c>
      <c r="B46" s="9" t="s">
        <v>127</v>
      </c>
      <c r="C46" s="9" t="n">
        <v>2025</v>
      </c>
      <c r="D46" s="9" t="s">
        <v>129</v>
      </c>
      <c r="E46" s="9" t="s">
        <v>130</v>
      </c>
      <c r="F46" s="10" t="n">
        <v>19983</v>
      </c>
      <c r="G46" s="10" t="s">
        <v>81</v>
      </c>
      <c r="H46" s="10" t="n">
        <v>490</v>
      </c>
      <c r="I46" s="10" t="n">
        <v>0</v>
      </c>
      <c r="J46" s="9" t="s">
        <v>81</v>
      </c>
      <c r="K46" s="9" t="s">
        <v>215</v>
      </c>
      <c r="L46" s="9" t="n">
        <v>27737787</v>
      </c>
      <c r="M46" s="9" t="s">
        <v>237</v>
      </c>
    </row>
    <row r="47" customFormat="false" ht="15" hidden="false" customHeight="false" outlineLevel="0" collapsed="false">
      <c r="A47" s="9" t="n">
        <v>209</v>
      </c>
      <c r="B47" s="9" t="s">
        <v>131</v>
      </c>
      <c r="C47" s="9" t="n">
        <v>2023</v>
      </c>
      <c r="D47" s="9" t="s">
        <v>132</v>
      </c>
      <c r="E47" s="9" t="s">
        <v>133</v>
      </c>
      <c r="F47" s="10" t="s">
        <v>81</v>
      </c>
      <c r="G47" s="10" t="s">
        <v>81</v>
      </c>
      <c r="H47" s="10" t="s">
        <v>81</v>
      </c>
      <c r="I47" s="10" t="s">
        <v>81</v>
      </c>
      <c r="J47" s="9" t="s">
        <v>81</v>
      </c>
      <c r="K47" s="9" t="s">
        <v>81</v>
      </c>
      <c r="L47" s="9" t="s">
        <v>81</v>
      </c>
      <c r="M47" s="9" t="s">
        <v>81</v>
      </c>
    </row>
    <row r="48" customFormat="false" ht="15" hidden="false" customHeight="false" outlineLevel="0" collapsed="false">
      <c r="A48" s="9" t="n">
        <v>209</v>
      </c>
      <c r="B48" s="9" t="s">
        <v>131</v>
      </c>
      <c r="C48" s="9" t="n">
        <v>2024</v>
      </c>
      <c r="D48" s="9" t="s">
        <v>132</v>
      </c>
      <c r="E48" s="9" t="s">
        <v>133</v>
      </c>
      <c r="F48" s="10" t="n">
        <v>14477</v>
      </c>
      <c r="G48" s="10" t="s">
        <v>81</v>
      </c>
      <c r="H48" s="10" t="n">
        <v>506</v>
      </c>
      <c r="I48" s="10" t="n">
        <v>0</v>
      </c>
      <c r="J48" s="9" t="s">
        <v>81</v>
      </c>
      <c r="K48" s="9" t="s">
        <v>239</v>
      </c>
      <c r="L48" s="9" t="n">
        <v>24157945</v>
      </c>
      <c r="M48" s="9" t="s">
        <v>240</v>
      </c>
    </row>
    <row r="49" customFormat="false" ht="15" hidden="false" customHeight="false" outlineLevel="0" collapsed="false">
      <c r="A49" s="9" t="n">
        <v>209</v>
      </c>
      <c r="B49" s="9" t="s">
        <v>131</v>
      </c>
      <c r="C49" s="9" t="n">
        <v>2025</v>
      </c>
      <c r="D49" s="9" t="s">
        <v>132</v>
      </c>
      <c r="E49" s="9" t="s">
        <v>133</v>
      </c>
      <c r="F49" s="10" t="n">
        <v>30944</v>
      </c>
      <c r="G49" s="10" t="s">
        <v>81</v>
      </c>
      <c r="H49" s="10" t="n">
        <v>5156</v>
      </c>
      <c r="I49" s="10" t="n">
        <v>0</v>
      </c>
      <c r="J49" s="9" t="s">
        <v>81</v>
      </c>
      <c r="K49" s="9" t="s">
        <v>241</v>
      </c>
      <c r="L49" s="9" t="n">
        <v>30192332</v>
      </c>
      <c r="M49" s="9" t="s">
        <v>240</v>
      </c>
    </row>
    <row r="50" customFormat="false" ht="15" hidden="false" customHeight="false" outlineLevel="0" collapsed="false">
      <c r="A50" s="9" t="n">
        <v>214</v>
      </c>
      <c r="B50" s="9" t="s">
        <v>134</v>
      </c>
      <c r="C50" s="9" t="n">
        <v>2023</v>
      </c>
      <c r="D50" s="9" t="s">
        <v>136</v>
      </c>
      <c r="E50" s="9" t="s">
        <v>137</v>
      </c>
      <c r="F50" s="10" t="n">
        <v>43738</v>
      </c>
      <c r="G50" s="10" t="s">
        <v>81</v>
      </c>
      <c r="H50" s="10" t="n">
        <v>0</v>
      </c>
      <c r="I50" s="10" t="n">
        <v>1295</v>
      </c>
      <c r="J50" s="9" t="s">
        <v>81</v>
      </c>
      <c r="K50" s="9" t="s">
        <v>226</v>
      </c>
      <c r="L50" s="9" t="n">
        <v>22414751</v>
      </c>
      <c r="M50" s="9" t="s">
        <v>242</v>
      </c>
    </row>
    <row r="51" customFormat="false" ht="15" hidden="false" customHeight="false" outlineLevel="0" collapsed="false">
      <c r="A51" s="9" t="n">
        <v>214</v>
      </c>
      <c r="B51" s="9" t="s">
        <v>134</v>
      </c>
      <c r="C51" s="9" t="n">
        <v>2024</v>
      </c>
      <c r="D51" s="9" t="s">
        <v>136</v>
      </c>
      <c r="E51" s="9" t="s">
        <v>137</v>
      </c>
      <c r="F51" s="10" t="n">
        <v>824</v>
      </c>
      <c r="G51" s="10" t="s">
        <v>81</v>
      </c>
      <c r="H51" s="10" t="n">
        <v>0</v>
      </c>
      <c r="I51" s="10" t="n">
        <v>2707</v>
      </c>
      <c r="J51" s="9" t="s">
        <v>81</v>
      </c>
      <c r="K51" s="9" t="s">
        <v>210</v>
      </c>
      <c r="L51" s="9" t="n">
        <v>24622731</v>
      </c>
      <c r="M51" s="9" t="s">
        <v>242</v>
      </c>
    </row>
    <row r="52" customFormat="false" ht="15" hidden="false" customHeight="false" outlineLevel="0" collapsed="false">
      <c r="A52" s="9" t="n">
        <v>214</v>
      </c>
      <c r="B52" s="9" t="s">
        <v>134</v>
      </c>
      <c r="C52" s="9" t="n">
        <v>2025</v>
      </c>
      <c r="D52" s="9" t="s">
        <v>136</v>
      </c>
      <c r="E52" s="9" t="s">
        <v>137</v>
      </c>
      <c r="F52" s="10" t="n">
        <v>1922</v>
      </c>
      <c r="G52" s="10" t="s">
        <v>81</v>
      </c>
      <c r="H52" s="10" t="n">
        <v>0</v>
      </c>
      <c r="I52" s="10" t="n">
        <v>665</v>
      </c>
      <c r="J52" s="9" t="s">
        <v>81</v>
      </c>
      <c r="K52" s="9" t="s">
        <v>218</v>
      </c>
      <c r="L52" s="9" t="n">
        <v>29997315</v>
      </c>
      <c r="M52" s="9" t="s">
        <v>242</v>
      </c>
    </row>
    <row r="53" customFormat="false" ht="15" hidden="false" customHeight="false" outlineLevel="0" collapsed="false">
      <c r="A53" s="9" t="n">
        <v>216</v>
      </c>
      <c r="B53" s="9" t="s">
        <v>139</v>
      </c>
      <c r="C53" s="9" t="n">
        <v>2023</v>
      </c>
      <c r="D53" s="9" t="s">
        <v>141</v>
      </c>
      <c r="E53" s="9" t="s">
        <v>142</v>
      </c>
      <c r="F53" s="10" t="n">
        <v>81759</v>
      </c>
      <c r="G53" s="10" t="s">
        <v>81</v>
      </c>
      <c r="H53" s="10" t="n">
        <v>2117</v>
      </c>
      <c r="I53" s="10" t="n">
        <v>0</v>
      </c>
      <c r="J53" s="9" t="s">
        <v>81</v>
      </c>
      <c r="K53" s="9" t="s">
        <v>243</v>
      </c>
      <c r="L53" s="9" t="n">
        <v>20895152</v>
      </c>
      <c r="M53" s="9" t="s">
        <v>244</v>
      </c>
    </row>
    <row r="54" customFormat="false" ht="15" hidden="false" customHeight="false" outlineLevel="0" collapsed="false">
      <c r="A54" s="9" t="n">
        <v>216</v>
      </c>
      <c r="B54" s="9" t="s">
        <v>139</v>
      </c>
      <c r="C54" s="9" t="n">
        <v>2024</v>
      </c>
      <c r="D54" s="9" t="s">
        <v>141</v>
      </c>
      <c r="E54" s="9" t="s">
        <v>142</v>
      </c>
      <c r="F54" s="10" t="n">
        <v>87683</v>
      </c>
      <c r="G54" s="10" t="s">
        <v>81</v>
      </c>
      <c r="H54" s="10" t="n">
        <v>17949</v>
      </c>
      <c r="I54" s="10" t="n">
        <v>0</v>
      </c>
      <c r="J54" s="9" t="s">
        <v>81</v>
      </c>
      <c r="K54" s="9" t="s">
        <v>245</v>
      </c>
      <c r="L54" s="9" t="n">
        <v>24045842</v>
      </c>
      <c r="M54" s="9" t="s">
        <v>244</v>
      </c>
    </row>
    <row r="55" customFormat="false" ht="15" hidden="false" customHeight="false" outlineLevel="0" collapsed="false">
      <c r="A55" s="9" t="n">
        <v>216</v>
      </c>
      <c r="B55" s="9" t="s">
        <v>139</v>
      </c>
      <c r="C55" s="9" t="n">
        <v>2025</v>
      </c>
      <c r="D55" s="9" t="s">
        <v>141</v>
      </c>
      <c r="E55" s="9" t="s">
        <v>142</v>
      </c>
      <c r="F55" s="10" t="n">
        <v>91579</v>
      </c>
      <c r="G55" s="10" t="s">
        <v>81</v>
      </c>
      <c r="H55" s="10" t="n">
        <v>1559</v>
      </c>
      <c r="I55" s="10" t="n">
        <v>0</v>
      </c>
      <c r="J55" s="9" t="s">
        <v>81</v>
      </c>
      <c r="K55" s="9" t="s">
        <v>207</v>
      </c>
      <c r="L55" s="9" t="n">
        <v>28702269</v>
      </c>
      <c r="M55" s="9" t="s">
        <v>244</v>
      </c>
    </row>
    <row r="56" customFormat="false" ht="15" hidden="false" customHeight="false" outlineLevel="0" collapsed="false">
      <c r="A56" s="9" t="n">
        <v>217</v>
      </c>
      <c r="B56" s="9" t="s">
        <v>37</v>
      </c>
      <c r="C56" s="9" t="n">
        <v>2023</v>
      </c>
      <c r="D56" s="9" t="s">
        <v>38</v>
      </c>
      <c r="E56" s="9" t="s">
        <v>39</v>
      </c>
      <c r="F56" s="10" t="n">
        <v>4663</v>
      </c>
      <c r="G56" s="10" t="s">
        <v>81</v>
      </c>
      <c r="H56" s="10" t="n">
        <v>82</v>
      </c>
      <c r="I56" s="10" t="n">
        <v>0</v>
      </c>
      <c r="J56" s="9" t="s">
        <v>81</v>
      </c>
      <c r="K56" s="9" t="s">
        <v>226</v>
      </c>
      <c r="L56" s="9" t="n">
        <v>22124213</v>
      </c>
      <c r="M56" s="9" t="s">
        <v>246</v>
      </c>
    </row>
    <row r="57" customFormat="false" ht="15" hidden="false" customHeight="false" outlineLevel="0" collapsed="false">
      <c r="A57" s="9" t="n">
        <v>217</v>
      </c>
      <c r="B57" s="9" t="s">
        <v>37</v>
      </c>
      <c r="C57" s="9" t="n">
        <v>2024</v>
      </c>
      <c r="D57" s="9" t="s">
        <v>38</v>
      </c>
      <c r="E57" s="9" t="s">
        <v>39</v>
      </c>
      <c r="F57" s="10" t="s">
        <v>81</v>
      </c>
      <c r="G57" s="10" t="s">
        <v>81</v>
      </c>
      <c r="H57" s="10" t="s">
        <v>81</v>
      </c>
      <c r="I57" s="10" t="s">
        <v>81</v>
      </c>
      <c r="J57" s="9" t="s">
        <v>81</v>
      </c>
      <c r="K57" s="9" t="s">
        <v>81</v>
      </c>
      <c r="L57" s="9" t="s">
        <v>81</v>
      </c>
      <c r="M57" s="9" t="s">
        <v>81</v>
      </c>
    </row>
    <row r="58" customFormat="false" ht="15" hidden="false" customHeight="false" outlineLevel="0" collapsed="false">
      <c r="A58" s="9" t="n">
        <v>217</v>
      </c>
      <c r="B58" s="9" t="s">
        <v>37</v>
      </c>
      <c r="C58" s="9" t="n">
        <v>2025</v>
      </c>
      <c r="D58" s="9" t="s">
        <v>38</v>
      </c>
      <c r="E58" s="9" t="s">
        <v>39</v>
      </c>
      <c r="F58" s="10" t="s">
        <v>81</v>
      </c>
      <c r="G58" s="10" t="s">
        <v>81</v>
      </c>
      <c r="H58" s="10" t="s">
        <v>81</v>
      </c>
      <c r="I58" s="10" t="s">
        <v>81</v>
      </c>
      <c r="J58" s="9" t="s">
        <v>81</v>
      </c>
      <c r="K58" s="9" t="s">
        <v>247</v>
      </c>
      <c r="L58" s="9" t="n">
        <v>25952957</v>
      </c>
      <c r="M58" s="9" t="s">
        <v>246</v>
      </c>
    </row>
    <row r="59" customFormat="false" ht="15" hidden="false" customHeight="false" outlineLevel="0" collapsed="false">
      <c r="A59" s="9" t="n">
        <v>220</v>
      </c>
      <c r="B59" s="9" t="s">
        <v>145</v>
      </c>
      <c r="C59" s="9" t="n">
        <v>2023</v>
      </c>
      <c r="D59" s="9" t="s">
        <v>147</v>
      </c>
      <c r="E59" s="9" t="s">
        <v>148</v>
      </c>
      <c r="F59" s="10" t="n">
        <v>3179</v>
      </c>
      <c r="G59" s="10" t="s">
        <v>81</v>
      </c>
      <c r="H59" s="10" t="n">
        <v>0</v>
      </c>
      <c r="I59" s="10" t="n">
        <v>0</v>
      </c>
      <c r="J59" s="9" t="s">
        <v>81</v>
      </c>
      <c r="K59" s="9" t="s">
        <v>248</v>
      </c>
      <c r="L59" s="9" t="n">
        <v>20315445</v>
      </c>
      <c r="M59" s="9" t="s">
        <v>249</v>
      </c>
    </row>
    <row r="60" customFormat="false" ht="15" hidden="false" customHeight="false" outlineLevel="0" collapsed="false">
      <c r="A60" s="9" t="n">
        <v>220</v>
      </c>
      <c r="B60" s="9" t="s">
        <v>145</v>
      </c>
      <c r="C60" s="9" t="n">
        <v>2024</v>
      </c>
      <c r="D60" s="9" t="s">
        <v>147</v>
      </c>
      <c r="E60" s="9" t="s">
        <v>148</v>
      </c>
      <c r="F60" s="10" t="n">
        <v>39878</v>
      </c>
      <c r="G60" s="10" t="s">
        <v>81</v>
      </c>
      <c r="H60" s="10" t="n">
        <v>80</v>
      </c>
      <c r="I60" s="10" t="n">
        <v>0</v>
      </c>
      <c r="J60" s="9" t="s">
        <v>81</v>
      </c>
      <c r="K60" s="9" t="s">
        <v>250</v>
      </c>
      <c r="L60" s="9" t="n">
        <v>23742470</v>
      </c>
      <c r="M60" s="9" t="s">
        <v>249</v>
      </c>
    </row>
    <row r="61" customFormat="false" ht="15" hidden="false" customHeight="false" outlineLevel="0" collapsed="false">
      <c r="A61" s="9" t="n">
        <v>220</v>
      </c>
      <c r="B61" s="9" t="s">
        <v>145</v>
      </c>
      <c r="C61" s="9" t="n">
        <v>2025</v>
      </c>
      <c r="D61" s="9" t="s">
        <v>147</v>
      </c>
      <c r="E61" s="9" t="s">
        <v>148</v>
      </c>
      <c r="F61" s="10" t="n">
        <v>43791</v>
      </c>
      <c r="G61" s="10" t="s">
        <v>81</v>
      </c>
      <c r="H61" s="10" t="n">
        <v>0</v>
      </c>
      <c r="I61" s="10" t="n">
        <v>101</v>
      </c>
      <c r="J61" s="9" t="s">
        <v>81</v>
      </c>
      <c r="K61" s="9" t="s">
        <v>251</v>
      </c>
      <c r="L61" s="9" t="n">
        <v>26747150</v>
      </c>
      <c r="M61" s="9" t="s">
        <v>249</v>
      </c>
    </row>
    <row r="62" customFormat="false" ht="15" hidden="false" customHeight="false" outlineLevel="0" collapsed="false">
      <c r="A62" s="9" t="n">
        <v>222</v>
      </c>
      <c r="B62" s="9" t="s">
        <v>27</v>
      </c>
      <c r="C62" s="9" t="n">
        <v>2023</v>
      </c>
      <c r="D62" s="9" t="s">
        <v>28</v>
      </c>
      <c r="E62" s="9" t="s">
        <v>29</v>
      </c>
      <c r="F62" s="10" t="n">
        <v>155745210</v>
      </c>
      <c r="G62" s="10" t="n">
        <v>27475435</v>
      </c>
      <c r="H62" s="10" t="n">
        <v>14174325</v>
      </c>
      <c r="I62" s="10" t="n">
        <v>0</v>
      </c>
      <c r="J62" s="9" t="s">
        <v>81</v>
      </c>
      <c r="K62" s="9" t="s">
        <v>208</v>
      </c>
      <c r="L62" s="9" t="n">
        <v>20812924</v>
      </c>
      <c r="M62" s="9" t="s">
        <v>209</v>
      </c>
    </row>
    <row r="63" customFormat="false" ht="15" hidden="false" customHeight="false" outlineLevel="0" collapsed="false">
      <c r="A63" s="9" t="n">
        <v>222</v>
      </c>
      <c r="B63" s="9" t="s">
        <v>27</v>
      </c>
      <c r="C63" s="9" t="n">
        <v>2024</v>
      </c>
      <c r="D63" s="9" t="s">
        <v>28</v>
      </c>
      <c r="E63" s="9" t="s">
        <v>29</v>
      </c>
      <c r="F63" s="10" t="n">
        <v>187357965</v>
      </c>
      <c r="G63" s="10" t="n">
        <v>35440526</v>
      </c>
      <c r="H63" s="10" t="n">
        <v>16959735</v>
      </c>
      <c r="I63" s="10" t="n">
        <v>0</v>
      </c>
      <c r="J63" s="9" t="s">
        <v>81</v>
      </c>
      <c r="K63" s="9" t="s">
        <v>210</v>
      </c>
      <c r="L63" s="9" t="n">
        <v>24648516</v>
      </c>
      <c r="M63" s="9" t="s">
        <v>209</v>
      </c>
    </row>
    <row r="64" customFormat="false" ht="15" hidden="false" customHeight="false" outlineLevel="0" collapsed="false">
      <c r="A64" s="9" t="n">
        <v>222</v>
      </c>
      <c r="B64" s="9" t="s">
        <v>27</v>
      </c>
      <c r="C64" s="9" t="n">
        <v>2025</v>
      </c>
      <c r="D64" s="9" t="s">
        <v>28</v>
      </c>
      <c r="E64" s="9" t="s">
        <v>29</v>
      </c>
      <c r="F64" s="10" t="n">
        <v>218572895</v>
      </c>
      <c r="G64" s="10" t="n">
        <v>37855764</v>
      </c>
      <c r="H64" s="10" t="n">
        <v>14405355</v>
      </c>
      <c r="I64" s="10" t="n">
        <v>0</v>
      </c>
      <c r="J64" s="9" t="s">
        <v>81</v>
      </c>
      <c r="K64" s="9" t="s">
        <v>211</v>
      </c>
      <c r="L64" s="9" t="n">
        <v>28271327</v>
      </c>
      <c r="M64" s="9" t="s">
        <v>209</v>
      </c>
    </row>
    <row r="65" customFormat="false" ht="15" hidden="false" customHeight="false" outlineLevel="0" collapsed="false">
      <c r="A65" s="9" t="n">
        <v>223</v>
      </c>
      <c r="B65" s="9" t="s">
        <v>30</v>
      </c>
      <c r="C65" s="9" t="n">
        <v>2023</v>
      </c>
      <c r="D65" s="9" t="s">
        <v>31</v>
      </c>
      <c r="E65" s="9" t="s">
        <v>32</v>
      </c>
      <c r="F65" s="10" t="n">
        <v>20168953</v>
      </c>
      <c r="G65" s="10" t="n">
        <v>14955521</v>
      </c>
      <c r="H65" s="10" t="n">
        <v>3539841</v>
      </c>
      <c r="I65" s="10" t="n">
        <v>0</v>
      </c>
      <c r="J65" s="9" t="s">
        <v>81</v>
      </c>
      <c r="K65" s="9" t="s">
        <v>230</v>
      </c>
      <c r="L65" s="9" t="n">
        <v>21767467</v>
      </c>
      <c r="M65" s="9" t="s">
        <v>231</v>
      </c>
    </row>
    <row r="66" customFormat="false" ht="15" hidden="false" customHeight="false" outlineLevel="0" collapsed="false">
      <c r="A66" s="9" t="n">
        <v>223</v>
      </c>
      <c r="B66" s="9" t="s">
        <v>30</v>
      </c>
      <c r="C66" s="9" t="n">
        <v>2024</v>
      </c>
      <c r="D66" s="9" t="s">
        <v>31</v>
      </c>
      <c r="E66" s="9" t="s">
        <v>32</v>
      </c>
      <c r="F66" s="10" t="n">
        <v>25930672</v>
      </c>
      <c r="G66" s="10" t="n">
        <v>20142693</v>
      </c>
      <c r="H66" s="10" t="n">
        <v>5678938</v>
      </c>
      <c r="I66" s="10" t="n">
        <v>0</v>
      </c>
      <c r="J66" s="9" t="s">
        <v>81</v>
      </c>
      <c r="K66" s="9" t="s">
        <v>232</v>
      </c>
      <c r="L66" s="9" t="n">
        <v>24845279</v>
      </c>
      <c r="M66" s="9" t="s">
        <v>231</v>
      </c>
    </row>
    <row r="67" customFormat="false" ht="15" hidden="false" customHeight="false" outlineLevel="0" collapsed="false">
      <c r="A67" s="9" t="n">
        <v>223</v>
      </c>
      <c r="B67" s="9" t="s">
        <v>30</v>
      </c>
      <c r="C67" s="9" t="n">
        <v>2025</v>
      </c>
      <c r="D67" s="9" t="s">
        <v>31</v>
      </c>
      <c r="E67" s="9" t="s">
        <v>32</v>
      </c>
      <c r="F67" s="10" t="n">
        <v>30813210</v>
      </c>
      <c r="G67" s="10" t="n">
        <v>24240245</v>
      </c>
      <c r="H67" s="10" t="n">
        <v>4115411</v>
      </c>
      <c r="I67" s="10" t="n">
        <v>0</v>
      </c>
      <c r="J67" s="9" t="s">
        <v>81</v>
      </c>
      <c r="K67" s="9" t="s">
        <v>233</v>
      </c>
      <c r="L67" s="9" t="n">
        <v>29314320</v>
      </c>
      <c r="M67" s="9" t="s">
        <v>231</v>
      </c>
    </row>
    <row r="68" customFormat="false" ht="15" hidden="false" customHeight="false" outlineLevel="0" collapsed="false">
      <c r="A68" s="9" t="n">
        <v>224</v>
      </c>
      <c r="B68" s="9" t="s">
        <v>30</v>
      </c>
      <c r="C68" s="9" t="n">
        <v>2023</v>
      </c>
      <c r="D68" s="9" t="s">
        <v>31</v>
      </c>
      <c r="E68" s="9" t="s">
        <v>32</v>
      </c>
      <c r="F68" s="10" t="n">
        <v>20168953</v>
      </c>
      <c r="G68" s="10" t="n">
        <v>14955521</v>
      </c>
      <c r="H68" s="10" t="n">
        <v>3539841</v>
      </c>
      <c r="I68" s="10" t="n">
        <v>0</v>
      </c>
      <c r="J68" s="9" t="s">
        <v>81</v>
      </c>
      <c r="K68" s="9" t="s">
        <v>230</v>
      </c>
      <c r="L68" s="9" t="n">
        <v>21767467</v>
      </c>
      <c r="M68" s="9" t="s">
        <v>231</v>
      </c>
    </row>
    <row r="69" customFormat="false" ht="15" hidden="false" customHeight="false" outlineLevel="0" collapsed="false">
      <c r="A69" s="9" t="n">
        <v>224</v>
      </c>
      <c r="B69" s="9" t="s">
        <v>30</v>
      </c>
      <c r="C69" s="9" t="n">
        <v>2024</v>
      </c>
      <c r="D69" s="9" t="s">
        <v>31</v>
      </c>
      <c r="E69" s="9" t="s">
        <v>32</v>
      </c>
      <c r="F69" s="10" t="n">
        <v>25930672</v>
      </c>
      <c r="G69" s="10" t="n">
        <v>20142693</v>
      </c>
      <c r="H69" s="10" t="n">
        <v>5678938</v>
      </c>
      <c r="I69" s="10" t="n">
        <v>0</v>
      </c>
      <c r="J69" s="9" t="s">
        <v>81</v>
      </c>
      <c r="K69" s="9" t="s">
        <v>232</v>
      </c>
      <c r="L69" s="9" t="n">
        <v>24845279</v>
      </c>
      <c r="M69" s="9" t="s">
        <v>231</v>
      </c>
    </row>
    <row r="70" customFormat="false" ht="15" hidden="false" customHeight="false" outlineLevel="0" collapsed="false">
      <c r="A70" s="9" t="n">
        <v>224</v>
      </c>
      <c r="B70" s="9" t="s">
        <v>30</v>
      </c>
      <c r="C70" s="9" t="n">
        <v>2025</v>
      </c>
      <c r="D70" s="9" t="s">
        <v>31</v>
      </c>
      <c r="E70" s="9" t="s">
        <v>32</v>
      </c>
      <c r="F70" s="10" t="n">
        <v>30813210</v>
      </c>
      <c r="G70" s="10" t="n">
        <v>24240245</v>
      </c>
      <c r="H70" s="10" t="n">
        <v>4115411</v>
      </c>
      <c r="I70" s="10" t="n">
        <v>0</v>
      </c>
      <c r="J70" s="9" t="s">
        <v>81</v>
      </c>
      <c r="K70" s="9" t="s">
        <v>233</v>
      </c>
      <c r="L70" s="9" t="n">
        <v>29314320</v>
      </c>
      <c r="M70" s="9" t="s">
        <v>231</v>
      </c>
    </row>
    <row r="71" customFormat="false" ht="15" hidden="false" customHeight="false" outlineLevel="0" collapsed="false">
      <c r="A71" s="9" t="n">
        <v>225</v>
      </c>
      <c r="B71" s="9" t="s">
        <v>102</v>
      </c>
      <c r="C71" s="9" t="n">
        <v>2023</v>
      </c>
      <c r="D71" s="9" t="s">
        <v>104</v>
      </c>
      <c r="E71" s="9" t="s">
        <v>105</v>
      </c>
      <c r="F71" s="10" t="n">
        <v>75067</v>
      </c>
      <c r="G71" s="10" t="s">
        <v>81</v>
      </c>
      <c r="H71" s="10" t="n">
        <v>0</v>
      </c>
      <c r="I71" s="10" t="n">
        <v>13678</v>
      </c>
      <c r="J71" s="9" t="s">
        <v>81</v>
      </c>
      <c r="K71" s="9" t="s">
        <v>222</v>
      </c>
      <c r="L71" s="9" t="n">
        <v>21263108</v>
      </c>
      <c r="M71" s="9" t="s">
        <v>223</v>
      </c>
    </row>
    <row r="72" customFormat="false" ht="15" hidden="false" customHeight="false" outlineLevel="0" collapsed="false">
      <c r="A72" s="9" t="n">
        <v>225</v>
      </c>
      <c r="B72" s="9" t="s">
        <v>102</v>
      </c>
      <c r="C72" s="9" t="n">
        <v>2024</v>
      </c>
      <c r="D72" s="9" t="s">
        <v>104</v>
      </c>
      <c r="E72" s="9" t="s">
        <v>105</v>
      </c>
      <c r="F72" s="10" t="n">
        <v>156359</v>
      </c>
      <c r="G72" s="10" t="s">
        <v>81</v>
      </c>
      <c r="H72" s="10" t="n">
        <v>49593</v>
      </c>
      <c r="I72" s="10" t="n">
        <v>0</v>
      </c>
      <c r="J72" s="9" t="s">
        <v>81</v>
      </c>
      <c r="K72" s="9" t="s">
        <v>210</v>
      </c>
      <c r="L72" s="9" t="n">
        <v>24578363</v>
      </c>
      <c r="M72" s="9" t="s">
        <v>223</v>
      </c>
    </row>
    <row r="73" customFormat="false" ht="15" hidden="false" customHeight="false" outlineLevel="0" collapsed="false">
      <c r="A73" s="9" t="n">
        <v>225</v>
      </c>
      <c r="B73" s="9" t="s">
        <v>102</v>
      </c>
      <c r="C73" s="9" t="n">
        <v>2025</v>
      </c>
      <c r="D73" s="9" t="s">
        <v>104</v>
      </c>
      <c r="E73" s="9" t="s">
        <v>105</v>
      </c>
      <c r="F73" s="10" t="n">
        <v>117703</v>
      </c>
      <c r="G73" s="10" t="s">
        <v>81</v>
      </c>
      <c r="H73" s="10" t="n">
        <v>19567</v>
      </c>
      <c r="I73" s="10" t="n">
        <v>0</v>
      </c>
      <c r="J73" s="9" t="s">
        <v>81</v>
      </c>
      <c r="K73" s="9" t="s">
        <v>224</v>
      </c>
      <c r="L73" s="9" t="n">
        <v>27914731</v>
      </c>
      <c r="M73" s="9" t="s">
        <v>223</v>
      </c>
    </row>
    <row r="74" customFormat="false" ht="15" hidden="false" customHeight="false" outlineLevel="0" collapsed="false">
      <c r="A74" s="9" t="n">
        <v>229</v>
      </c>
      <c r="B74" s="9" t="s">
        <v>153</v>
      </c>
      <c r="C74" s="9" t="n">
        <v>2023</v>
      </c>
      <c r="D74" s="9" t="s">
        <v>155</v>
      </c>
      <c r="E74" s="9" t="s">
        <v>156</v>
      </c>
      <c r="F74" s="10" t="n">
        <v>54433</v>
      </c>
      <c r="G74" s="10" t="s">
        <v>81</v>
      </c>
      <c r="H74" s="10" t="n">
        <v>8244</v>
      </c>
      <c r="I74" s="10" t="n">
        <v>0</v>
      </c>
      <c r="J74" s="9" t="s">
        <v>81</v>
      </c>
      <c r="K74" s="9" t="s">
        <v>252</v>
      </c>
      <c r="L74" s="9" t="n">
        <v>20594291</v>
      </c>
      <c r="M74" s="9" t="s">
        <v>253</v>
      </c>
    </row>
    <row r="75" customFormat="false" ht="15" hidden="false" customHeight="false" outlineLevel="0" collapsed="false">
      <c r="A75" s="9" t="n">
        <v>229</v>
      </c>
      <c r="B75" s="9" t="s">
        <v>153</v>
      </c>
      <c r="C75" s="9" t="n">
        <v>2024</v>
      </c>
      <c r="D75" s="9" t="s">
        <v>155</v>
      </c>
      <c r="E75" s="9" t="s">
        <v>156</v>
      </c>
      <c r="F75" s="10" t="n">
        <v>59684</v>
      </c>
      <c r="G75" s="10" t="s">
        <v>81</v>
      </c>
      <c r="H75" s="10" t="n">
        <v>5849</v>
      </c>
      <c r="I75" s="10" t="n">
        <v>0</v>
      </c>
      <c r="J75" s="9" t="s">
        <v>81</v>
      </c>
      <c r="K75" s="9" t="s">
        <v>254</v>
      </c>
      <c r="L75" s="9" t="n">
        <v>23635303</v>
      </c>
      <c r="M75" s="9" t="s">
        <v>253</v>
      </c>
    </row>
    <row r="76" customFormat="false" ht="15" hidden="false" customHeight="false" outlineLevel="0" collapsed="false">
      <c r="A76" s="9" t="n">
        <v>229</v>
      </c>
      <c r="B76" s="9" t="s">
        <v>153</v>
      </c>
      <c r="C76" s="9" t="n">
        <v>2025</v>
      </c>
      <c r="D76" s="9" t="s">
        <v>155</v>
      </c>
      <c r="E76" s="9" t="s">
        <v>156</v>
      </c>
      <c r="F76" s="10" t="n">
        <v>139479</v>
      </c>
      <c r="G76" s="10" t="s">
        <v>81</v>
      </c>
      <c r="H76" s="10" t="n">
        <v>27442</v>
      </c>
      <c r="I76" s="10" t="n">
        <v>0</v>
      </c>
      <c r="J76" s="9" t="s">
        <v>81</v>
      </c>
      <c r="K76" s="9" t="s">
        <v>211</v>
      </c>
      <c r="L76" s="9" t="n">
        <v>28243637</v>
      </c>
      <c r="M76" s="9" t="s">
        <v>253</v>
      </c>
    </row>
    <row r="77" customFormat="false" ht="15" hidden="false" customHeight="false" outlineLevel="0" collapsed="false">
      <c r="A77" s="9" t="n">
        <v>232</v>
      </c>
      <c r="B77" s="9" t="s">
        <v>157</v>
      </c>
      <c r="C77" s="9" t="n">
        <v>2023</v>
      </c>
      <c r="D77" s="9" t="s">
        <v>159</v>
      </c>
      <c r="E77" s="9" t="s">
        <v>160</v>
      </c>
      <c r="F77" s="10" t="n">
        <v>6863</v>
      </c>
      <c r="G77" s="10" t="n">
        <v>3504</v>
      </c>
      <c r="H77" s="10" t="n">
        <v>1680</v>
      </c>
      <c r="I77" s="10" t="n">
        <v>0</v>
      </c>
      <c r="J77" s="9" t="s">
        <v>81</v>
      </c>
      <c r="K77" s="9" t="s">
        <v>236</v>
      </c>
      <c r="L77" s="9" t="n">
        <v>21218296</v>
      </c>
      <c r="M77" s="9" t="s">
        <v>255</v>
      </c>
    </row>
    <row r="78" customFormat="false" ht="15" hidden="false" customHeight="false" outlineLevel="0" collapsed="false">
      <c r="A78" s="9" t="n">
        <v>232</v>
      </c>
      <c r="B78" s="9" t="s">
        <v>157</v>
      </c>
      <c r="C78" s="9" t="n">
        <v>2024</v>
      </c>
      <c r="D78" s="9" t="s">
        <v>159</v>
      </c>
      <c r="E78" s="9" t="s">
        <v>160</v>
      </c>
      <c r="F78" s="10" t="n">
        <v>0</v>
      </c>
      <c r="G78" s="10" t="n">
        <v>0</v>
      </c>
      <c r="H78" s="10" t="n">
        <v>0</v>
      </c>
      <c r="I78" s="10" t="n">
        <v>1258</v>
      </c>
      <c r="J78" s="9" t="s">
        <v>81</v>
      </c>
      <c r="K78" s="9" t="s">
        <v>256</v>
      </c>
      <c r="L78" s="9" t="n">
        <v>23614658</v>
      </c>
      <c r="M78" s="9" t="s">
        <v>255</v>
      </c>
    </row>
    <row r="79" customFormat="false" ht="15" hidden="false" customHeight="false" outlineLevel="0" collapsed="false">
      <c r="A79" s="9" t="n">
        <v>232</v>
      </c>
      <c r="B79" s="9" t="s">
        <v>157</v>
      </c>
      <c r="C79" s="9" t="n">
        <v>2025</v>
      </c>
      <c r="D79" s="9" t="s">
        <v>159</v>
      </c>
      <c r="E79" s="9" t="s">
        <v>160</v>
      </c>
      <c r="F79" s="10" t="s">
        <v>81</v>
      </c>
      <c r="G79" s="10" t="s">
        <v>81</v>
      </c>
      <c r="H79" s="10" t="n">
        <v>0</v>
      </c>
      <c r="I79" s="10" t="n">
        <v>406</v>
      </c>
      <c r="J79" s="9" t="s">
        <v>81</v>
      </c>
      <c r="K79" s="9" t="s">
        <v>257</v>
      </c>
      <c r="L79" s="9" t="n">
        <v>26679491</v>
      </c>
      <c r="M79" s="9" t="s">
        <v>255</v>
      </c>
    </row>
    <row r="80" customFormat="false" ht="15" hidden="false" customHeight="false" outlineLevel="0" collapsed="false">
      <c r="A80" s="9" t="n">
        <v>233</v>
      </c>
      <c r="B80" s="9" t="s">
        <v>30</v>
      </c>
      <c r="C80" s="9" t="n">
        <v>2023</v>
      </c>
      <c r="D80" s="9" t="s">
        <v>31</v>
      </c>
      <c r="E80" s="9" t="s">
        <v>32</v>
      </c>
      <c r="F80" s="10" t="n">
        <v>20168953</v>
      </c>
      <c r="G80" s="10" t="n">
        <v>14955521</v>
      </c>
      <c r="H80" s="10" t="n">
        <v>3539841</v>
      </c>
      <c r="I80" s="10" t="n">
        <v>0</v>
      </c>
      <c r="J80" s="9" t="s">
        <v>81</v>
      </c>
      <c r="K80" s="9" t="s">
        <v>230</v>
      </c>
      <c r="L80" s="9" t="n">
        <v>21767467</v>
      </c>
      <c r="M80" s="9" t="s">
        <v>231</v>
      </c>
    </row>
    <row r="81" customFormat="false" ht="15" hidden="false" customHeight="false" outlineLevel="0" collapsed="false">
      <c r="A81" s="9" t="n">
        <v>233</v>
      </c>
      <c r="B81" s="9" t="s">
        <v>30</v>
      </c>
      <c r="C81" s="9" t="n">
        <v>2024</v>
      </c>
      <c r="D81" s="9" t="s">
        <v>31</v>
      </c>
      <c r="E81" s="9" t="s">
        <v>32</v>
      </c>
      <c r="F81" s="10" t="n">
        <v>25930672</v>
      </c>
      <c r="G81" s="10" t="n">
        <v>20142693</v>
      </c>
      <c r="H81" s="10" t="n">
        <v>5678938</v>
      </c>
      <c r="I81" s="10" t="n">
        <v>0</v>
      </c>
      <c r="J81" s="9" t="s">
        <v>81</v>
      </c>
      <c r="K81" s="9" t="s">
        <v>232</v>
      </c>
      <c r="L81" s="9" t="n">
        <v>24845279</v>
      </c>
      <c r="M81" s="9" t="s">
        <v>231</v>
      </c>
    </row>
    <row r="82" customFormat="false" ht="15" hidden="false" customHeight="false" outlineLevel="0" collapsed="false">
      <c r="A82" s="9" t="n">
        <v>233</v>
      </c>
      <c r="B82" s="9" t="s">
        <v>30</v>
      </c>
      <c r="C82" s="9" t="n">
        <v>2025</v>
      </c>
      <c r="D82" s="9" t="s">
        <v>31</v>
      </c>
      <c r="E82" s="9" t="s">
        <v>32</v>
      </c>
      <c r="F82" s="10" t="n">
        <v>30813210</v>
      </c>
      <c r="G82" s="10" t="n">
        <v>24240245</v>
      </c>
      <c r="H82" s="10" t="n">
        <v>4115411</v>
      </c>
      <c r="I82" s="10" t="n">
        <v>0</v>
      </c>
      <c r="J82" s="9" t="s">
        <v>81</v>
      </c>
      <c r="K82" s="9" t="s">
        <v>233</v>
      </c>
      <c r="L82" s="9" t="n">
        <v>29314320</v>
      </c>
      <c r="M82" s="9" t="s">
        <v>231</v>
      </c>
    </row>
    <row r="83" customFormat="false" ht="15" hidden="false" customHeight="false" outlineLevel="0" collapsed="false">
      <c r="A83" s="9" t="n">
        <v>234</v>
      </c>
      <c r="B83" s="9" t="s">
        <v>163</v>
      </c>
      <c r="C83" s="9" t="n">
        <v>2023</v>
      </c>
      <c r="D83" s="9" t="s">
        <v>165</v>
      </c>
      <c r="E83" s="9" t="s">
        <v>166</v>
      </c>
      <c r="F83" s="10" t="s">
        <v>81</v>
      </c>
      <c r="G83" s="10" t="s">
        <v>81</v>
      </c>
      <c r="H83" s="10" t="s">
        <v>81</v>
      </c>
      <c r="I83" s="10" t="s">
        <v>81</v>
      </c>
      <c r="J83" s="9" t="s">
        <v>81</v>
      </c>
      <c r="K83" s="9" t="s">
        <v>81</v>
      </c>
      <c r="L83" s="9" t="s">
        <v>81</v>
      </c>
      <c r="M83" s="9" t="s">
        <v>81</v>
      </c>
    </row>
    <row r="84" customFormat="false" ht="15" hidden="false" customHeight="false" outlineLevel="0" collapsed="false">
      <c r="A84" s="9" t="n">
        <v>234</v>
      </c>
      <c r="B84" s="9" t="s">
        <v>163</v>
      </c>
      <c r="C84" s="9" t="n">
        <v>2024</v>
      </c>
      <c r="D84" s="9" t="s">
        <v>165</v>
      </c>
      <c r="E84" s="9" t="s">
        <v>166</v>
      </c>
      <c r="F84" s="10" t="s">
        <v>81</v>
      </c>
      <c r="G84" s="10" t="s">
        <v>81</v>
      </c>
      <c r="H84" s="10" t="s">
        <v>81</v>
      </c>
      <c r="I84" s="10" t="s">
        <v>81</v>
      </c>
      <c r="J84" s="9" t="s">
        <v>81</v>
      </c>
      <c r="K84" s="9" t="s">
        <v>81</v>
      </c>
      <c r="L84" s="9" t="s">
        <v>81</v>
      </c>
      <c r="M84" s="9" t="s">
        <v>81</v>
      </c>
    </row>
    <row r="85" customFormat="false" ht="15" hidden="false" customHeight="false" outlineLevel="0" collapsed="false">
      <c r="A85" s="9" t="n">
        <v>234</v>
      </c>
      <c r="B85" s="9" t="s">
        <v>163</v>
      </c>
      <c r="C85" s="9" t="n">
        <v>2025</v>
      </c>
      <c r="D85" s="9" t="s">
        <v>165</v>
      </c>
      <c r="E85" s="9" t="s">
        <v>166</v>
      </c>
      <c r="F85" s="10" t="s">
        <v>81</v>
      </c>
      <c r="G85" s="10" t="s">
        <v>81</v>
      </c>
      <c r="H85" s="10" t="s">
        <v>81</v>
      </c>
      <c r="I85" s="10" t="s">
        <v>81</v>
      </c>
      <c r="J85" s="9" t="s">
        <v>81</v>
      </c>
      <c r="K85" s="9" t="s">
        <v>81</v>
      </c>
      <c r="L85" s="9" t="s">
        <v>81</v>
      </c>
      <c r="M85" s="9" t="s">
        <v>81</v>
      </c>
    </row>
    <row r="86" customFormat="false" ht="15" hidden="false" customHeight="false" outlineLevel="0" collapsed="false">
      <c r="A86" s="9" t="n">
        <v>235</v>
      </c>
      <c r="B86" s="9" t="s">
        <v>168</v>
      </c>
      <c r="C86" s="9" t="n">
        <v>2023</v>
      </c>
      <c r="D86" s="9" t="s">
        <v>104</v>
      </c>
      <c r="E86" s="9" t="s">
        <v>105</v>
      </c>
      <c r="F86" s="10" t="n">
        <v>75067</v>
      </c>
      <c r="G86" s="10" t="s">
        <v>81</v>
      </c>
      <c r="H86" s="10" t="n">
        <v>0</v>
      </c>
      <c r="I86" s="10" t="n">
        <v>13678</v>
      </c>
      <c r="J86" s="9" t="s">
        <v>81</v>
      </c>
      <c r="K86" s="9" t="s">
        <v>222</v>
      </c>
      <c r="L86" s="9" t="n">
        <v>21263108</v>
      </c>
      <c r="M86" s="9" t="s">
        <v>223</v>
      </c>
    </row>
    <row r="87" customFormat="false" ht="15" hidden="false" customHeight="false" outlineLevel="0" collapsed="false">
      <c r="A87" s="9" t="n">
        <v>235</v>
      </c>
      <c r="B87" s="9" t="s">
        <v>168</v>
      </c>
      <c r="C87" s="9" t="n">
        <v>2024</v>
      </c>
      <c r="D87" s="9" t="s">
        <v>104</v>
      </c>
      <c r="E87" s="9" t="s">
        <v>105</v>
      </c>
      <c r="F87" s="10" t="n">
        <v>156359</v>
      </c>
      <c r="G87" s="10" t="s">
        <v>81</v>
      </c>
      <c r="H87" s="10" t="n">
        <v>49593</v>
      </c>
      <c r="I87" s="10" t="n">
        <v>0</v>
      </c>
      <c r="J87" s="9" t="s">
        <v>81</v>
      </c>
      <c r="K87" s="9" t="s">
        <v>210</v>
      </c>
      <c r="L87" s="9" t="n">
        <v>24578363</v>
      </c>
      <c r="M87" s="9" t="s">
        <v>223</v>
      </c>
    </row>
    <row r="88" customFormat="false" ht="15" hidden="false" customHeight="false" outlineLevel="0" collapsed="false">
      <c r="A88" s="9" t="n">
        <v>235</v>
      </c>
      <c r="B88" s="9" t="s">
        <v>168</v>
      </c>
      <c r="C88" s="9" t="n">
        <v>2025</v>
      </c>
      <c r="D88" s="9" t="s">
        <v>104</v>
      </c>
      <c r="E88" s="9" t="s">
        <v>105</v>
      </c>
      <c r="F88" s="10" t="n">
        <v>117703</v>
      </c>
      <c r="G88" s="10" t="s">
        <v>81</v>
      </c>
      <c r="H88" s="10" t="n">
        <v>19567</v>
      </c>
      <c r="I88" s="10" t="n">
        <v>0</v>
      </c>
      <c r="J88" s="9" t="s">
        <v>81</v>
      </c>
      <c r="K88" s="9" t="s">
        <v>224</v>
      </c>
      <c r="L88" s="9" t="n">
        <v>27914731</v>
      </c>
      <c r="M88" s="9" t="s">
        <v>223</v>
      </c>
    </row>
    <row r="89" customFormat="false" ht="15" hidden="false" customHeight="false" outlineLevel="0" collapsed="false">
      <c r="A89" s="9" t="n">
        <v>236</v>
      </c>
      <c r="B89" s="9" t="s">
        <v>97</v>
      </c>
      <c r="C89" s="9" t="n">
        <v>2023</v>
      </c>
      <c r="D89" s="9" t="s">
        <v>99</v>
      </c>
      <c r="E89" s="9" t="s">
        <v>100</v>
      </c>
      <c r="F89" s="10" t="n">
        <v>74455646</v>
      </c>
      <c r="G89" s="10" t="n">
        <v>15131005</v>
      </c>
      <c r="H89" s="10" t="n">
        <v>1799543</v>
      </c>
      <c r="I89" s="10" t="n">
        <v>0</v>
      </c>
      <c r="J89" s="9" t="s">
        <v>81</v>
      </c>
      <c r="K89" s="9" t="s">
        <v>219</v>
      </c>
      <c r="L89" s="9" t="n">
        <v>22147779</v>
      </c>
      <c r="M89" s="9" t="s">
        <v>220</v>
      </c>
    </row>
    <row r="90" customFormat="false" ht="15" hidden="false" customHeight="false" outlineLevel="0" collapsed="false">
      <c r="A90" s="9" t="n">
        <v>236</v>
      </c>
      <c r="B90" s="9" t="s">
        <v>97</v>
      </c>
      <c r="C90" s="9" t="n">
        <v>2024</v>
      </c>
      <c r="D90" s="9" t="s">
        <v>99</v>
      </c>
      <c r="E90" s="9" t="s">
        <v>100</v>
      </c>
      <c r="F90" s="10" t="n">
        <v>90264478</v>
      </c>
      <c r="G90" s="10" t="n">
        <v>17291096</v>
      </c>
      <c r="H90" s="10" t="n">
        <v>1634622</v>
      </c>
      <c r="I90" s="10" t="n">
        <v>0</v>
      </c>
      <c r="J90" s="9" t="s">
        <v>81</v>
      </c>
      <c r="K90" s="9" t="s">
        <v>221</v>
      </c>
      <c r="L90" s="9" t="n">
        <v>25161767</v>
      </c>
      <c r="M90" s="9" t="s">
        <v>220</v>
      </c>
    </row>
    <row r="91" customFormat="false" ht="15" hidden="false" customHeight="false" outlineLevel="0" collapsed="false">
      <c r="A91" s="9" t="n">
        <v>236</v>
      </c>
      <c r="B91" s="9" t="s">
        <v>97</v>
      </c>
      <c r="C91" s="9" t="n">
        <v>2025</v>
      </c>
      <c r="D91" s="9" t="s">
        <v>99</v>
      </c>
      <c r="E91" s="9" t="s">
        <v>100</v>
      </c>
      <c r="F91" s="10" t="n">
        <v>103954806</v>
      </c>
      <c r="G91" s="10" t="n">
        <v>17849571</v>
      </c>
      <c r="H91" s="10" t="n">
        <v>637589</v>
      </c>
      <c r="I91" s="10" t="n">
        <v>0</v>
      </c>
      <c r="J91" s="9" t="s">
        <v>81</v>
      </c>
      <c r="K91" s="9" t="s">
        <v>218</v>
      </c>
      <c r="L91" s="9" t="n">
        <v>30033406</v>
      </c>
      <c r="M91" s="9" t="s">
        <v>220</v>
      </c>
    </row>
    <row r="92" customFormat="false" ht="15" hidden="false" customHeight="false" outlineLevel="0" collapsed="false">
      <c r="A92" s="9" t="n">
        <v>238</v>
      </c>
      <c r="B92" s="9" t="s">
        <v>170</v>
      </c>
      <c r="C92" s="9" t="n">
        <v>2023</v>
      </c>
      <c r="D92" s="9" t="s">
        <v>171</v>
      </c>
      <c r="E92" s="9" t="s">
        <v>172</v>
      </c>
      <c r="F92" s="10" t="n">
        <v>7659</v>
      </c>
      <c r="G92" s="10" t="s">
        <v>81</v>
      </c>
      <c r="H92" s="10" t="n">
        <v>632</v>
      </c>
      <c r="I92" s="10" t="n">
        <v>0</v>
      </c>
      <c r="J92" s="9" t="s">
        <v>81</v>
      </c>
      <c r="K92" s="9" t="s">
        <v>258</v>
      </c>
      <c r="L92" s="9" t="n">
        <v>20683925</v>
      </c>
      <c r="M92" s="9" t="s">
        <v>259</v>
      </c>
    </row>
    <row r="93" customFormat="false" ht="15" hidden="false" customHeight="false" outlineLevel="0" collapsed="false">
      <c r="A93" s="9" t="n">
        <v>238</v>
      </c>
      <c r="B93" s="9" t="s">
        <v>170</v>
      </c>
      <c r="C93" s="9" t="n">
        <v>2024</v>
      </c>
      <c r="D93" s="9" t="s">
        <v>171</v>
      </c>
      <c r="E93" s="9" t="s">
        <v>172</v>
      </c>
      <c r="F93" s="10" t="n">
        <v>7687</v>
      </c>
      <c r="G93" s="10" t="s">
        <v>81</v>
      </c>
      <c r="H93" s="10" t="n">
        <v>236</v>
      </c>
      <c r="I93" s="10" t="n">
        <v>0</v>
      </c>
      <c r="J93" s="9" t="s">
        <v>81</v>
      </c>
      <c r="K93" s="9" t="s">
        <v>260</v>
      </c>
      <c r="L93" s="9" t="n">
        <v>23074576</v>
      </c>
      <c r="M93" s="9" t="s">
        <v>259</v>
      </c>
    </row>
    <row r="94" customFormat="false" ht="15" hidden="false" customHeight="false" outlineLevel="0" collapsed="false">
      <c r="A94" s="9" t="n">
        <v>238</v>
      </c>
      <c r="B94" s="9" t="s">
        <v>170</v>
      </c>
      <c r="C94" s="9" t="n">
        <v>2025</v>
      </c>
      <c r="D94" s="9" t="s">
        <v>171</v>
      </c>
      <c r="E94" s="9" t="s">
        <v>172</v>
      </c>
      <c r="F94" s="10" t="n">
        <v>7566</v>
      </c>
      <c r="G94" s="10" t="s">
        <v>81</v>
      </c>
      <c r="H94" s="10" t="n">
        <v>176</v>
      </c>
      <c r="I94" s="10" t="n">
        <v>0</v>
      </c>
      <c r="J94" s="9" t="s">
        <v>81</v>
      </c>
      <c r="K94" s="9" t="s">
        <v>261</v>
      </c>
      <c r="L94" s="9" t="n">
        <v>26830731</v>
      </c>
      <c r="M94" s="9" t="s">
        <v>259</v>
      </c>
    </row>
    <row r="95" customFormat="false" ht="15" hidden="false" customHeight="false" outlineLevel="0" collapsed="false">
      <c r="A95" s="9" t="n">
        <v>239</v>
      </c>
      <c r="B95" s="9" t="s">
        <v>174</v>
      </c>
      <c r="C95" s="9" t="n">
        <v>2023</v>
      </c>
      <c r="D95" s="9" t="s">
        <v>81</v>
      </c>
      <c r="E95" s="9" t="s">
        <v>81</v>
      </c>
      <c r="F95" s="10" t="s">
        <v>81</v>
      </c>
      <c r="G95" s="10" t="s">
        <v>81</v>
      </c>
      <c r="H95" s="10" t="s">
        <v>81</v>
      </c>
      <c r="I95" s="10" t="s">
        <v>81</v>
      </c>
      <c r="J95" s="9" t="s">
        <v>81</v>
      </c>
      <c r="K95" s="9" t="s">
        <v>81</v>
      </c>
      <c r="L95" s="9" t="s">
        <v>81</v>
      </c>
      <c r="M95" s="9" t="s">
        <v>81</v>
      </c>
    </row>
    <row r="96" customFormat="false" ht="15" hidden="false" customHeight="false" outlineLevel="0" collapsed="false">
      <c r="A96" s="9" t="n">
        <v>239</v>
      </c>
      <c r="B96" s="9" t="s">
        <v>174</v>
      </c>
      <c r="C96" s="9" t="n">
        <v>2024</v>
      </c>
      <c r="D96" s="9" t="s">
        <v>81</v>
      </c>
      <c r="E96" s="9" t="s">
        <v>81</v>
      </c>
      <c r="F96" s="10" t="s">
        <v>81</v>
      </c>
      <c r="G96" s="10" t="s">
        <v>81</v>
      </c>
      <c r="H96" s="10" t="s">
        <v>81</v>
      </c>
      <c r="I96" s="10" t="s">
        <v>81</v>
      </c>
      <c r="J96" s="9" t="s">
        <v>81</v>
      </c>
      <c r="K96" s="9" t="s">
        <v>81</v>
      </c>
      <c r="L96" s="9" t="s">
        <v>81</v>
      </c>
      <c r="M96" s="9" t="s">
        <v>81</v>
      </c>
    </row>
    <row r="97" customFormat="false" ht="15" hidden="false" customHeight="false" outlineLevel="0" collapsed="false">
      <c r="A97" s="9" t="n">
        <v>239</v>
      </c>
      <c r="B97" s="9" t="s">
        <v>174</v>
      </c>
      <c r="C97" s="9" t="n">
        <v>2025</v>
      </c>
      <c r="D97" s="9" t="s">
        <v>81</v>
      </c>
      <c r="E97" s="9" t="s">
        <v>81</v>
      </c>
      <c r="F97" s="10" t="s">
        <v>81</v>
      </c>
      <c r="G97" s="10" t="s">
        <v>81</v>
      </c>
      <c r="H97" s="10" t="s">
        <v>81</v>
      </c>
      <c r="I97" s="10" t="s">
        <v>81</v>
      </c>
      <c r="J97" s="9" t="s">
        <v>81</v>
      </c>
      <c r="K97" s="9" t="s">
        <v>81</v>
      </c>
      <c r="L97" s="9" t="s">
        <v>81</v>
      </c>
      <c r="M97" s="9" t="s">
        <v>81</v>
      </c>
    </row>
    <row r="98" customFormat="false" ht="15" hidden="false" customHeight="false" outlineLevel="0" collapsed="false">
      <c r="A98" s="9" t="n">
        <v>240</v>
      </c>
      <c r="B98" s="9" t="s">
        <v>176</v>
      </c>
      <c r="C98" s="9" t="n">
        <v>2023</v>
      </c>
      <c r="D98" s="9" t="s">
        <v>177</v>
      </c>
      <c r="E98" s="9" t="s">
        <v>178</v>
      </c>
      <c r="F98" s="10" t="s">
        <v>81</v>
      </c>
      <c r="G98" s="10" t="s">
        <v>81</v>
      </c>
      <c r="H98" s="10" t="n">
        <v>0</v>
      </c>
      <c r="I98" s="10" t="n">
        <v>1229</v>
      </c>
      <c r="J98" s="9" t="s">
        <v>81</v>
      </c>
      <c r="K98" s="9" t="s">
        <v>204</v>
      </c>
      <c r="L98" s="9" t="n">
        <v>21588775</v>
      </c>
      <c r="M98" s="9" t="s">
        <v>262</v>
      </c>
    </row>
    <row r="99" customFormat="false" ht="15" hidden="false" customHeight="false" outlineLevel="0" collapsed="false">
      <c r="A99" s="9" t="n">
        <v>240</v>
      </c>
      <c r="B99" s="9" t="s">
        <v>176</v>
      </c>
      <c r="C99" s="9" t="n">
        <v>2024</v>
      </c>
      <c r="D99" s="9" t="s">
        <v>177</v>
      </c>
      <c r="E99" s="9" t="s">
        <v>178</v>
      </c>
      <c r="F99" s="10" t="s">
        <v>81</v>
      </c>
      <c r="G99" s="10" t="s">
        <v>81</v>
      </c>
      <c r="H99" s="10" t="n">
        <v>0</v>
      </c>
      <c r="I99" s="10" t="n">
        <v>11</v>
      </c>
      <c r="J99" s="9" t="s">
        <v>81</v>
      </c>
      <c r="K99" s="9" t="s">
        <v>250</v>
      </c>
      <c r="L99" s="9" t="n">
        <v>23758671</v>
      </c>
      <c r="M99" s="9" t="s">
        <v>262</v>
      </c>
    </row>
    <row r="100" customFormat="false" ht="15" hidden="false" customHeight="false" outlineLevel="0" collapsed="false">
      <c r="A100" s="9" t="n">
        <v>240</v>
      </c>
      <c r="B100" s="9" t="s">
        <v>176</v>
      </c>
      <c r="C100" s="9" t="n">
        <v>2025</v>
      </c>
      <c r="D100" s="9" t="s">
        <v>177</v>
      </c>
      <c r="E100" s="9" t="s">
        <v>178</v>
      </c>
      <c r="F100" s="10" t="n">
        <v>0</v>
      </c>
      <c r="G100" s="10" t="s">
        <v>81</v>
      </c>
      <c r="H100" s="10" t="n">
        <v>1453</v>
      </c>
      <c r="I100" s="10" t="n">
        <v>0</v>
      </c>
      <c r="J100" s="9" t="s">
        <v>81</v>
      </c>
      <c r="K100" s="9" t="s">
        <v>263</v>
      </c>
      <c r="L100" s="9" t="n">
        <v>26181148</v>
      </c>
      <c r="M100" s="9" t="s">
        <v>262</v>
      </c>
    </row>
    <row r="101" customFormat="false" ht="15" hidden="false" customHeight="false" outlineLevel="0" collapsed="false">
      <c r="A101" s="9" t="n">
        <v>241</v>
      </c>
      <c r="B101" s="9" t="s">
        <v>41</v>
      </c>
      <c r="C101" s="9" t="n">
        <v>2023</v>
      </c>
      <c r="D101" s="9" t="s">
        <v>42</v>
      </c>
      <c r="E101" s="9" t="s">
        <v>43</v>
      </c>
      <c r="F101" s="10" t="n">
        <v>126094</v>
      </c>
      <c r="G101" s="10" t="s">
        <v>81</v>
      </c>
      <c r="H101" s="10" t="n">
        <v>2204</v>
      </c>
      <c r="I101" s="10" t="n">
        <v>0</v>
      </c>
      <c r="J101" s="9" t="s">
        <v>81</v>
      </c>
      <c r="K101" s="9" t="s">
        <v>264</v>
      </c>
      <c r="L101" s="9" t="n">
        <v>21013457</v>
      </c>
      <c r="M101" s="9" t="s">
        <v>265</v>
      </c>
    </row>
    <row r="102" customFormat="false" ht="15" hidden="false" customHeight="false" outlineLevel="0" collapsed="false">
      <c r="A102" s="9" t="n">
        <v>241</v>
      </c>
      <c r="B102" s="9" t="s">
        <v>41</v>
      </c>
      <c r="C102" s="9" t="n">
        <v>2024</v>
      </c>
      <c r="D102" s="9" t="s">
        <v>42</v>
      </c>
      <c r="E102" s="9" t="s">
        <v>43</v>
      </c>
      <c r="F102" s="10" t="n">
        <v>164603</v>
      </c>
      <c r="G102" s="10" t="s">
        <v>81</v>
      </c>
      <c r="H102" s="10" t="n">
        <v>270</v>
      </c>
      <c r="I102" s="10" t="n">
        <v>0</v>
      </c>
      <c r="J102" s="9" t="s">
        <v>81</v>
      </c>
      <c r="K102" s="9" t="s">
        <v>266</v>
      </c>
      <c r="L102" s="9" t="n">
        <v>23820157</v>
      </c>
      <c r="M102" s="9" t="s">
        <v>265</v>
      </c>
    </row>
    <row r="103" customFormat="false" ht="15" hidden="false" customHeight="false" outlineLevel="0" collapsed="false">
      <c r="A103" s="9" t="n">
        <v>241</v>
      </c>
      <c r="B103" s="9" t="s">
        <v>41</v>
      </c>
      <c r="C103" s="9" t="n">
        <v>2025</v>
      </c>
      <c r="D103" s="9" t="s">
        <v>42</v>
      </c>
      <c r="E103" s="9" t="s">
        <v>43</v>
      </c>
      <c r="F103" s="10" t="n">
        <v>144505</v>
      </c>
      <c r="G103" s="10" t="s">
        <v>81</v>
      </c>
      <c r="H103" s="10" t="n">
        <v>0</v>
      </c>
      <c r="I103" s="10" t="n">
        <v>3220</v>
      </c>
      <c r="J103" s="9" t="s">
        <v>81</v>
      </c>
      <c r="K103" s="9" t="s">
        <v>267</v>
      </c>
      <c r="L103" s="9" t="n">
        <v>27182069</v>
      </c>
      <c r="M103" s="9" t="s">
        <v>265</v>
      </c>
    </row>
    <row r="104" customFormat="false" ht="15" hidden="false" customHeight="false" outlineLevel="0" collapsed="false">
      <c r="A104" s="9" t="n">
        <v>242</v>
      </c>
      <c r="B104" s="9" t="s">
        <v>112</v>
      </c>
      <c r="C104" s="9" t="n">
        <v>2023</v>
      </c>
      <c r="D104" s="9" t="s">
        <v>114</v>
      </c>
      <c r="E104" s="9" t="s">
        <v>115</v>
      </c>
      <c r="F104" s="10" t="n">
        <v>158039</v>
      </c>
      <c r="G104" s="10" t="n">
        <v>144977</v>
      </c>
      <c r="H104" s="10" t="n">
        <v>26406</v>
      </c>
      <c r="I104" s="10" t="n">
        <v>0</v>
      </c>
      <c r="J104" s="9" t="s">
        <v>81</v>
      </c>
      <c r="K104" s="9" t="s">
        <v>226</v>
      </c>
      <c r="L104" s="9" t="n">
        <v>22169609</v>
      </c>
      <c r="M104" s="9" t="s">
        <v>227</v>
      </c>
    </row>
    <row r="105" customFormat="false" ht="15" hidden="false" customHeight="false" outlineLevel="0" collapsed="false">
      <c r="A105" s="9" t="n">
        <v>242</v>
      </c>
      <c r="B105" s="9" t="s">
        <v>112</v>
      </c>
      <c r="C105" s="9" t="n">
        <v>2024</v>
      </c>
      <c r="D105" s="9" t="s">
        <v>114</v>
      </c>
      <c r="E105" s="9" t="s">
        <v>115</v>
      </c>
      <c r="F105" s="10" t="n">
        <v>173572</v>
      </c>
      <c r="G105" s="10" t="n">
        <v>173572</v>
      </c>
      <c r="H105" s="10" t="n">
        <v>16663</v>
      </c>
      <c r="I105" s="10" t="n">
        <v>0</v>
      </c>
      <c r="J105" s="9" t="s">
        <v>81</v>
      </c>
      <c r="K105" s="9" t="s">
        <v>228</v>
      </c>
      <c r="L105" s="9" t="n">
        <v>25060620</v>
      </c>
      <c r="M105" s="9" t="s">
        <v>227</v>
      </c>
    </row>
    <row r="106" customFormat="false" ht="15" hidden="false" customHeight="false" outlineLevel="0" collapsed="false">
      <c r="A106" s="9" t="n">
        <v>242</v>
      </c>
      <c r="B106" s="9" t="s">
        <v>112</v>
      </c>
      <c r="C106" s="9" t="n">
        <v>2025</v>
      </c>
      <c r="D106" s="9" t="s">
        <v>114</v>
      </c>
      <c r="E106" s="9" t="s">
        <v>115</v>
      </c>
      <c r="F106" s="10" t="n">
        <v>166280</v>
      </c>
      <c r="G106" s="10" t="n">
        <v>166280</v>
      </c>
      <c r="H106" s="10" t="n">
        <v>7125</v>
      </c>
      <c r="I106" s="10" t="n">
        <v>0</v>
      </c>
      <c r="J106" s="9" t="s">
        <v>81</v>
      </c>
      <c r="K106" s="9" t="s">
        <v>218</v>
      </c>
      <c r="L106" s="9" t="n">
        <v>29519626</v>
      </c>
      <c r="M106" s="9" t="s">
        <v>227</v>
      </c>
    </row>
    <row r="107" customFormat="false" ht="15" hidden="false" customHeight="false" outlineLevel="0" collapsed="false">
      <c r="A107" s="9" t="n">
        <v>244</v>
      </c>
      <c r="B107" s="9" t="s">
        <v>180</v>
      </c>
      <c r="C107" s="9" t="n">
        <v>2023</v>
      </c>
      <c r="D107" s="9" t="s">
        <v>177</v>
      </c>
      <c r="E107" s="9" t="s">
        <v>178</v>
      </c>
      <c r="F107" s="10" t="s">
        <v>81</v>
      </c>
      <c r="G107" s="10" t="s">
        <v>81</v>
      </c>
      <c r="H107" s="10" t="n">
        <v>0</v>
      </c>
      <c r="I107" s="10" t="n">
        <v>1229</v>
      </c>
      <c r="J107" s="9" t="s">
        <v>81</v>
      </c>
      <c r="K107" s="9" t="s">
        <v>204</v>
      </c>
      <c r="L107" s="9" t="n">
        <v>21588775</v>
      </c>
      <c r="M107" s="9" t="s">
        <v>262</v>
      </c>
    </row>
    <row r="108" customFormat="false" ht="15" hidden="false" customHeight="false" outlineLevel="0" collapsed="false">
      <c r="A108" s="9" t="n">
        <v>244</v>
      </c>
      <c r="B108" s="9" t="s">
        <v>180</v>
      </c>
      <c r="C108" s="9" t="n">
        <v>2024</v>
      </c>
      <c r="D108" s="9" t="s">
        <v>177</v>
      </c>
      <c r="E108" s="9" t="s">
        <v>178</v>
      </c>
      <c r="F108" s="10" t="s">
        <v>81</v>
      </c>
      <c r="G108" s="10" t="s">
        <v>81</v>
      </c>
      <c r="H108" s="10" t="n">
        <v>0</v>
      </c>
      <c r="I108" s="10" t="n">
        <v>11</v>
      </c>
      <c r="J108" s="9" t="s">
        <v>81</v>
      </c>
      <c r="K108" s="9" t="s">
        <v>250</v>
      </c>
      <c r="L108" s="9" t="n">
        <v>23758671</v>
      </c>
      <c r="M108" s="9" t="s">
        <v>262</v>
      </c>
    </row>
    <row r="109" customFormat="false" ht="15" hidden="false" customHeight="false" outlineLevel="0" collapsed="false">
      <c r="A109" s="9" t="n">
        <v>244</v>
      </c>
      <c r="B109" s="9" t="s">
        <v>180</v>
      </c>
      <c r="C109" s="9" t="n">
        <v>2025</v>
      </c>
      <c r="D109" s="9" t="s">
        <v>177</v>
      </c>
      <c r="E109" s="9" t="s">
        <v>178</v>
      </c>
      <c r="F109" s="10" t="n">
        <v>0</v>
      </c>
      <c r="G109" s="10" t="s">
        <v>81</v>
      </c>
      <c r="H109" s="10" t="n">
        <v>1453</v>
      </c>
      <c r="I109" s="10" t="n">
        <v>0</v>
      </c>
      <c r="J109" s="9" t="s">
        <v>81</v>
      </c>
      <c r="K109" s="9" t="s">
        <v>263</v>
      </c>
      <c r="L109" s="9" t="n">
        <v>26181148</v>
      </c>
      <c r="M109" s="9" t="s">
        <v>262</v>
      </c>
    </row>
    <row r="110" customFormat="false" ht="15" hidden="false" customHeight="false" outlineLevel="0" collapsed="false">
      <c r="A110" s="9" t="n">
        <v>246</v>
      </c>
      <c r="B110" s="9" t="s">
        <v>44</v>
      </c>
      <c r="C110" s="9" t="n">
        <v>2023</v>
      </c>
      <c r="D110" s="9" t="s">
        <v>45</v>
      </c>
      <c r="E110" s="9" t="s">
        <v>46</v>
      </c>
      <c r="F110" s="10" t="n">
        <v>107076</v>
      </c>
      <c r="G110" s="10" t="s">
        <v>81</v>
      </c>
      <c r="H110" s="10" t="n">
        <v>333</v>
      </c>
      <c r="I110" s="10" t="n">
        <v>0</v>
      </c>
      <c r="J110" s="9" t="s">
        <v>81</v>
      </c>
      <c r="K110" s="9" t="s">
        <v>268</v>
      </c>
      <c r="L110" s="9" t="n">
        <v>20321394</v>
      </c>
      <c r="M110" s="9" t="s">
        <v>269</v>
      </c>
    </row>
    <row r="111" customFormat="false" ht="15" hidden="false" customHeight="false" outlineLevel="0" collapsed="false">
      <c r="A111" s="9" t="n">
        <v>246</v>
      </c>
      <c r="B111" s="9" t="s">
        <v>44</v>
      </c>
      <c r="C111" s="9" t="n">
        <v>2024</v>
      </c>
      <c r="D111" s="9" t="s">
        <v>45</v>
      </c>
      <c r="E111" s="9" t="s">
        <v>46</v>
      </c>
      <c r="F111" s="10" t="n">
        <v>126884</v>
      </c>
      <c r="G111" s="10" t="s">
        <v>81</v>
      </c>
      <c r="H111" s="10" t="n">
        <v>0</v>
      </c>
      <c r="I111" s="10" t="n">
        <v>5074</v>
      </c>
      <c r="J111" s="9" t="s">
        <v>81</v>
      </c>
      <c r="K111" s="9" t="s">
        <v>270</v>
      </c>
      <c r="L111" s="9" t="n">
        <v>23263975</v>
      </c>
      <c r="M111" s="9" t="s">
        <v>269</v>
      </c>
    </row>
    <row r="112" customFormat="false" ht="15" hidden="false" customHeight="false" outlineLevel="0" collapsed="false">
      <c r="A112" s="9" t="n">
        <v>246</v>
      </c>
      <c r="B112" s="9" t="s">
        <v>44</v>
      </c>
      <c r="C112" s="9" t="n">
        <v>2025</v>
      </c>
      <c r="D112" s="9" t="s">
        <v>45</v>
      </c>
      <c r="E112" s="9" t="s">
        <v>46</v>
      </c>
      <c r="F112" s="10" t="n">
        <v>149153</v>
      </c>
      <c r="G112" s="10" t="s">
        <v>81</v>
      </c>
      <c r="H112" s="10" t="n">
        <v>0</v>
      </c>
      <c r="I112" s="10" t="n">
        <v>1659</v>
      </c>
      <c r="J112" s="9" t="s">
        <v>81</v>
      </c>
      <c r="K112" s="9" t="s">
        <v>271</v>
      </c>
      <c r="L112" s="9" t="n">
        <v>26331983</v>
      </c>
      <c r="M112" s="9" t="s">
        <v>269</v>
      </c>
    </row>
    <row r="113" customFormat="false" ht="15" hidden="false" customHeight="false" outlineLevel="0" collapsed="false">
      <c r="A113" s="9" t="n">
        <v>248</v>
      </c>
      <c r="B113" s="9" t="s">
        <v>182</v>
      </c>
      <c r="C113" s="9" t="n">
        <v>2023</v>
      </c>
      <c r="D113" s="9" t="s">
        <v>184</v>
      </c>
      <c r="E113" s="9" t="s">
        <v>185</v>
      </c>
      <c r="F113" s="10" t="n">
        <v>9993</v>
      </c>
      <c r="G113" s="10" t="s">
        <v>81</v>
      </c>
      <c r="H113" s="10" t="n">
        <v>1871</v>
      </c>
      <c r="I113" s="10" t="n">
        <v>0</v>
      </c>
      <c r="J113" s="9" t="s">
        <v>81</v>
      </c>
      <c r="K113" s="9" t="s">
        <v>226</v>
      </c>
      <c r="L113" s="9" t="n">
        <v>22146529</v>
      </c>
      <c r="M113" s="9" t="s">
        <v>272</v>
      </c>
    </row>
    <row r="114" customFormat="false" ht="15" hidden="false" customHeight="false" outlineLevel="0" collapsed="false">
      <c r="A114" s="9" t="n">
        <v>248</v>
      </c>
      <c r="B114" s="9" t="s">
        <v>182</v>
      </c>
      <c r="C114" s="9" t="n">
        <v>2024</v>
      </c>
      <c r="D114" s="9" t="s">
        <v>184</v>
      </c>
      <c r="E114" s="9" t="s">
        <v>185</v>
      </c>
      <c r="F114" s="10" t="n">
        <v>9655</v>
      </c>
      <c r="G114" s="10" t="s">
        <v>81</v>
      </c>
      <c r="H114" s="10" t="n">
        <v>0</v>
      </c>
      <c r="I114" s="10" t="n">
        <v>30</v>
      </c>
      <c r="J114" s="9" t="s">
        <v>81</v>
      </c>
      <c r="K114" s="9" t="s">
        <v>214</v>
      </c>
      <c r="L114" s="9" t="n">
        <v>25160225</v>
      </c>
      <c r="M114" s="9" t="s">
        <v>272</v>
      </c>
    </row>
    <row r="115" customFormat="false" ht="15" hidden="false" customHeight="false" outlineLevel="0" collapsed="false">
      <c r="A115" s="9" t="n">
        <v>248</v>
      </c>
      <c r="B115" s="9" t="s">
        <v>182</v>
      </c>
      <c r="C115" s="9" t="n">
        <v>2025</v>
      </c>
      <c r="D115" s="9" t="s">
        <v>184</v>
      </c>
      <c r="E115" s="9" t="s">
        <v>185</v>
      </c>
      <c r="F115" s="10" t="n">
        <v>0</v>
      </c>
      <c r="G115" s="10" t="s">
        <v>81</v>
      </c>
      <c r="H115" s="10" t="n">
        <v>0</v>
      </c>
      <c r="I115" s="10" t="n">
        <v>1024</v>
      </c>
      <c r="J115" s="9" t="s">
        <v>81</v>
      </c>
      <c r="K115" s="9" t="s">
        <v>273</v>
      </c>
      <c r="L115" s="9" t="n">
        <v>30152689</v>
      </c>
      <c r="M115" s="9" t="s">
        <v>272</v>
      </c>
    </row>
    <row r="116" customFormat="false" ht="15" hidden="false" customHeight="false" outlineLevel="0" collapsed="false">
      <c r="A116" s="9" t="n">
        <v>249</v>
      </c>
      <c r="B116" s="9" t="s">
        <v>186</v>
      </c>
      <c r="C116" s="9" t="n">
        <v>2023</v>
      </c>
      <c r="D116" s="9" t="s">
        <v>188</v>
      </c>
      <c r="E116" s="9" t="s">
        <v>189</v>
      </c>
      <c r="F116" s="10" t="n">
        <v>230191</v>
      </c>
      <c r="G116" s="10" t="s">
        <v>81</v>
      </c>
      <c r="H116" s="10" t="n">
        <v>20823</v>
      </c>
      <c r="I116" s="10" t="n">
        <v>0</v>
      </c>
      <c r="J116" s="9" t="s">
        <v>81</v>
      </c>
      <c r="K116" s="9" t="s">
        <v>236</v>
      </c>
      <c r="L116" s="9" t="n">
        <v>21233669</v>
      </c>
      <c r="M116" s="9" t="s">
        <v>274</v>
      </c>
    </row>
    <row r="117" customFormat="false" ht="15" hidden="false" customHeight="false" outlineLevel="0" collapsed="false">
      <c r="A117" s="9" t="n">
        <v>249</v>
      </c>
      <c r="B117" s="9" t="s">
        <v>186</v>
      </c>
      <c r="C117" s="9" t="n">
        <v>2024</v>
      </c>
      <c r="D117" s="9" t="s">
        <v>188</v>
      </c>
      <c r="E117" s="9" t="s">
        <v>189</v>
      </c>
      <c r="F117" s="10" t="n">
        <v>250436</v>
      </c>
      <c r="G117" s="10" t="s">
        <v>81</v>
      </c>
      <c r="H117" s="10" t="n">
        <v>9998</v>
      </c>
      <c r="I117" s="10" t="n">
        <v>0</v>
      </c>
      <c r="J117" s="9" t="s">
        <v>81</v>
      </c>
      <c r="K117" s="9" t="s">
        <v>275</v>
      </c>
      <c r="L117" s="9" t="n">
        <v>24391549</v>
      </c>
      <c r="M117" s="9" t="s">
        <v>274</v>
      </c>
    </row>
    <row r="118" customFormat="false" ht="15" hidden="false" customHeight="false" outlineLevel="0" collapsed="false">
      <c r="A118" s="9" t="n">
        <v>249</v>
      </c>
      <c r="B118" s="9" t="s">
        <v>186</v>
      </c>
      <c r="C118" s="9" t="n">
        <v>2025</v>
      </c>
      <c r="D118" s="9" t="s">
        <v>188</v>
      </c>
      <c r="E118" s="9" t="s">
        <v>189</v>
      </c>
      <c r="F118" s="10" t="n">
        <v>250089</v>
      </c>
      <c r="G118" s="10" t="s">
        <v>81</v>
      </c>
      <c r="H118" s="10" t="n">
        <v>0</v>
      </c>
      <c r="I118" s="10" t="n">
        <v>1798</v>
      </c>
      <c r="J118" s="9" t="s">
        <v>81</v>
      </c>
      <c r="K118" s="9" t="s">
        <v>276</v>
      </c>
      <c r="L118" s="9" t="n">
        <v>27355877</v>
      </c>
      <c r="M118" s="9" t="s">
        <v>274</v>
      </c>
    </row>
    <row r="119" customFormat="false" ht="15" hidden="false" customHeight="false" outlineLevel="0" collapsed="false">
      <c r="A119" s="9" t="n">
        <v>250</v>
      </c>
      <c r="B119" s="9" t="s">
        <v>191</v>
      </c>
      <c r="C119" s="9" t="n">
        <v>2023</v>
      </c>
      <c r="D119" s="9" t="s">
        <v>193</v>
      </c>
      <c r="E119" s="9" t="s">
        <v>194</v>
      </c>
      <c r="F119" s="10" t="n">
        <v>2807</v>
      </c>
      <c r="G119" s="10" t="n">
        <v>744</v>
      </c>
      <c r="H119" s="10" t="n">
        <v>597</v>
      </c>
      <c r="I119" s="10" t="n">
        <v>0</v>
      </c>
      <c r="J119" s="9" t="s">
        <v>81</v>
      </c>
      <c r="K119" s="9" t="s">
        <v>277</v>
      </c>
      <c r="L119" s="9" t="n">
        <v>21084480</v>
      </c>
      <c r="M119" s="9" t="s">
        <v>278</v>
      </c>
    </row>
    <row r="120" customFormat="false" ht="15" hidden="false" customHeight="false" outlineLevel="0" collapsed="false">
      <c r="A120" s="9" t="n">
        <v>250</v>
      </c>
      <c r="B120" s="9" t="s">
        <v>191</v>
      </c>
      <c r="C120" s="9" t="n">
        <v>2024</v>
      </c>
      <c r="D120" s="9" t="s">
        <v>193</v>
      </c>
      <c r="E120" s="9" t="s">
        <v>194</v>
      </c>
      <c r="F120" s="10" t="n">
        <v>5661</v>
      </c>
      <c r="G120" s="10" t="n">
        <v>820</v>
      </c>
      <c r="H120" s="10" t="n">
        <v>447</v>
      </c>
      <c r="I120" s="10" t="n">
        <v>0</v>
      </c>
      <c r="J120" s="9" t="s">
        <v>81</v>
      </c>
      <c r="K120" s="9" t="s">
        <v>279</v>
      </c>
      <c r="L120" s="9" t="n">
        <v>23718106</v>
      </c>
      <c r="M120" s="9" t="s">
        <v>278</v>
      </c>
    </row>
    <row r="121" customFormat="false" ht="15" hidden="false" customHeight="false" outlineLevel="0" collapsed="false">
      <c r="A121" s="9" t="n">
        <v>250</v>
      </c>
      <c r="B121" s="9" t="s">
        <v>191</v>
      </c>
      <c r="C121" s="9" t="n">
        <v>2025</v>
      </c>
      <c r="D121" s="9" t="s">
        <v>193</v>
      </c>
      <c r="E121" s="9" t="s">
        <v>194</v>
      </c>
      <c r="F121" s="10" t="n">
        <v>6016</v>
      </c>
      <c r="G121" s="10" t="n">
        <v>-289</v>
      </c>
      <c r="H121" s="10" t="n">
        <v>0</v>
      </c>
      <c r="I121" s="10" t="n">
        <v>484</v>
      </c>
      <c r="J121" s="9" t="s">
        <v>81</v>
      </c>
      <c r="K121" s="9" t="s">
        <v>280</v>
      </c>
      <c r="L121" s="9" t="n">
        <v>27592619</v>
      </c>
      <c r="M121" s="9" t="s">
        <v>278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88"/>
    <col collapsed="false" customWidth="true" hidden="false" outlineLevel="0" max="2" min="2" style="0" width="10.63"/>
    <col collapsed="false" customWidth="true" hidden="false" outlineLevel="0" max="3" min="3" style="0" width="8.75"/>
    <col collapsed="false" customWidth="true" hidden="false" outlineLevel="0" max="4" min="4" style="0" width="21.25"/>
    <col collapsed="false" customWidth="true" hidden="false" outlineLevel="0" max="5" min="5" style="0" width="35.63"/>
    <col collapsed="false" customWidth="true" hidden="false" outlineLevel="0" max="6" min="6" style="0" width="15"/>
    <col collapsed="false" customWidth="true" hidden="false" outlineLevel="0" max="7" min="7" style="0" width="11.89"/>
    <col collapsed="false" customWidth="true" hidden="false" outlineLevel="0" max="10" min="8" style="0" width="16.89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8" t="s">
        <v>281</v>
      </c>
      <c r="B1" s="8" t="s">
        <v>282</v>
      </c>
      <c r="C1" s="8" t="s">
        <v>19</v>
      </c>
      <c r="D1" s="8" t="s">
        <v>54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283</v>
      </c>
      <c r="K1" s="8" t="s">
        <v>58</v>
      </c>
    </row>
    <row r="2" customFormat="false" ht="15" hidden="false" customHeight="false" outlineLevel="0" collapsed="false">
      <c r="A2" s="12" t="n">
        <v>1</v>
      </c>
      <c r="B2" s="12" t="s">
        <v>81</v>
      </c>
      <c r="C2" s="12" t="n">
        <v>165</v>
      </c>
      <c r="D2" s="12" t="s">
        <v>27</v>
      </c>
      <c r="E2" s="12" t="s">
        <v>28</v>
      </c>
      <c r="F2" s="12" t="s">
        <v>29</v>
      </c>
      <c r="G2" s="13" t="n">
        <v>100</v>
      </c>
      <c r="H2" s="14" t="n">
        <v>45539415</v>
      </c>
      <c r="I2" s="14" t="n">
        <v>0</v>
      </c>
      <c r="J2" s="14" t="n">
        <v>561676070</v>
      </c>
      <c r="K2" s="12" t="s">
        <v>84</v>
      </c>
    </row>
    <row r="3" customFormat="false" ht="15" hidden="false" customHeight="false" outlineLevel="0" collapsed="false">
      <c r="A3" s="12" t="n">
        <v>2</v>
      </c>
      <c r="B3" s="12" t="s">
        <v>81</v>
      </c>
      <c r="C3" s="12" t="n">
        <v>172</v>
      </c>
      <c r="D3" s="12" t="s">
        <v>27</v>
      </c>
      <c r="E3" s="12" t="s">
        <v>28</v>
      </c>
      <c r="F3" s="12" t="s">
        <v>29</v>
      </c>
      <c r="G3" s="13" t="n">
        <v>100</v>
      </c>
      <c r="H3" s="14" t="n">
        <v>45539415</v>
      </c>
      <c r="I3" s="14" t="n">
        <v>0</v>
      </c>
      <c r="J3" s="14" t="n">
        <v>561676070</v>
      </c>
      <c r="K3" s="12" t="s">
        <v>84</v>
      </c>
    </row>
    <row r="4" customFormat="false" ht="15" hidden="false" customHeight="false" outlineLevel="0" collapsed="false">
      <c r="A4" s="12" t="n">
        <v>3</v>
      </c>
      <c r="B4" s="12" t="s">
        <v>26</v>
      </c>
      <c r="C4" s="12" t="n">
        <v>187</v>
      </c>
      <c r="D4" s="12" t="s">
        <v>27</v>
      </c>
      <c r="E4" s="12" t="s">
        <v>28</v>
      </c>
      <c r="F4" s="12" t="s">
        <v>29</v>
      </c>
      <c r="G4" s="13" t="n">
        <v>100</v>
      </c>
      <c r="H4" s="14" t="n">
        <v>45539415</v>
      </c>
      <c r="I4" s="14" t="n">
        <v>0</v>
      </c>
      <c r="J4" s="14" t="n">
        <v>561676070</v>
      </c>
      <c r="K4" s="12" t="s">
        <v>84</v>
      </c>
    </row>
    <row r="5" customFormat="false" ht="15" hidden="false" customHeight="false" outlineLevel="0" collapsed="false">
      <c r="A5" s="12" t="n">
        <v>4</v>
      </c>
      <c r="B5" s="12" t="s">
        <v>81</v>
      </c>
      <c r="C5" s="12" t="n">
        <v>222</v>
      </c>
      <c r="D5" s="12" t="s">
        <v>27</v>
      </c>
      <c r="E5" s="12" t="s">
        <v>28</v>
      </c>
      <c r="F5" s="12" t="s">
        <v>29</v>
      </c>
      <c r="G5" s="13" t="n">
        <v>100</v>
      </c>
      <c r="H5" s="14" t="n">
        <v>45539415</v>
      </c>
      <c r="I5" s="14" t="n">
        <v>0</v>
      </c>
      <c r="J5" s="14" t="n">
        <v>561676070</v>
      </c>
      <c r="K5" s="12" t="s">
        <v>84</v>
      </c>
    </row>
    <row r="6" customFormat="false" ht="15" hidden="false" customHeight="false" outlineLevel="0" collapsed="false">
      <c r="A6" s="12" t="n">
        <v>5</v>
      </c>
      <c r="B6" s="12" t="s">
        <v>81</v>
      </c>
      <c r="C6" s="12" t="n">
        <v>198</v>
      </c>
      <c r="D6" s="12" t="s">
        <v>30</v>
      </c>
      <c r="E6" s="12" t="s">
        <v>31</v>
      </c>
      <c r="F6" s="12" t="s">
        <v>32</v>
      </c>
      <c r="G6" s="13" t="n">
        <v>100</v>
      </c>
      <c r="H6" s="14" t="n">
        <v>13334190</v>
      </c>
      <c r="I6" s="14" t="n">
        <v>0</v>
      </c>
      <c r="J6" s="14" t="n">
        <v>76912835</v>
      </c>
      <c r="K6" s="12" t="s">
        <v>92</v>
      </c>
    </row>
    <row r="7" customFormat="false" ht="15" hidden="false" customHeight="false" outlineLevel="0" collapsed="false">
      <c r="A7" s="12" t="n">
        <v>6</v>
      </c>
      <c r="B7" s="12" t="s">
        <v>26</v>
      </c>
      <c r="C7" s="12" t="n">
        <v>223</v>
      </c>
      <c r="D7" s="12" t="s">
        <v>30</v>
      </c>
      <c r="E7" s="12" t="s">
        <v>31</v>
      </c>
      <c r="F7" s="12" t="s">
        <v>32</v>
      </c>
      <c r="G7" s="13" t="n">
        <v>100</v>
      </c>
      <c r="H7" s="14" t="n">
        <v>13334190</v>
      </c>
      <c r="I7" s="14" t="n">
        <v>0</v>
      </c>
      <c r="J7" s="14" t="n">
        <v>76912835</v>
      </c>
      <c r="K7" s="12" t="s">
        <v>92</v>
      </c>
    </row>
    <row r="8" customFormat="false" ht="15" hidden="false" customHeight="false" outlineLevel="0" collapsed="false">
      <c r="A8" s="12" t="n">
        <v>7</v>
      </c>
      <c r="B8" s="12" t="s">
        <v>81</v>
      </c>
      <c r="C8" s="12" t="n">
        <v>224</v>
      </c>
      <c r="D8" s="12" t="s">
        <v>30</v>
      </c>
      <c r="E8" s="12" t="s">
        <v>31</v>
      </c>
      <c r="F8" s="12" t="s">
        <v>32</v>
      </c>
      <c r="G8" s="13" t="n">
        <v>100</v>
      </c>
      <c r="H8" s="14" t="n">
        <v>13334190</v>
      </c>
      <c r="I8" s="14" t="n">
        <v>0</v>
      </c>
      <c r="J8" s="14" t="n">
        <v>76912835</v>
      </c>
      <c r="K8" s="12" t="s">
        <v>92</v>
      </c>
    </row>
    <row r="9" customFormat="false" ht="15" hidden="false" customHeight="false" outlineLevel="0" collapsed="false">
      <c r="A9" s="12" t="n">
        <v>8</v>
      </c>
      <c r="B9" s="12" t="s">
        <v>81</v>
      </c>
      <c r="C9" s="12" t="n">
        <v>233</v>
      </c>
      <c r="D9" s="12" t="s">
        <v>30</v>
      </c>
      <c r="E9" s="12" t="s">
        <v>31</v>
      </c>
      <c r="F9" s="12" t="s">
        <v>32</v>
      </c>
      <c r="G9" s="13" t="n">
        <v>100</v>
      </c>
      <c r="H9" s="14" t="n">
        <v>13334190</v>
      </c>
      <c r="I9" s="14" t="n">
        <v>0</v>
      </c>
      <c r="J9" s="14" t="n">
        <v>76912835</v>
      </c>
      <c r="K9" s="12" t="s">
        <v>92</v>
      </c>
    </row>
    <row r="10" customFormat="false" ht="15" hidden="false" customHeight="false" outlineLevel="0" collapsed="false">
      <c r="A10" s="12" t="n">
        <v>9</v>
      </c>
      <c r="B10" s="12" t="s">
        <v>81</v>
      </c>
      <c r="C10" s="12" t="n">
        <v>184</v>
      </c>
      <c r="D10" s="12" t="s">
        <v>97</v>
      </c>
      <c r="E10" s="12" t="s">
        <v>99</v>
      </c>
      <c r="F10" s="12" t="s">
        <v>100</v>
      </c>
      <c r="G10" s="13" t="n">
        <v>100</v>
      </c>
      <c r="H10" s="14" t="n">
        <v>4071754</v>
      </c>
      <c r="I10" s="14" t="n">
        <v>0</v>
      </c>
      <c r="J10" s="14" t="n">
        <v>268674930</v>
      </c>
      <c r="K10" s="12" t="s">
        <v>92</v>
      </c>
    </row>
    <row r="11" customFormat="false" ht="15" hidden="false" customHeight="false" outlineLevel="0" collapsed="false">
      <c r="A11" s="12" t="n">
        <v>10</v>
      </c>
      <c r="B11" s="12" t="s">
        <v>81</v>
      </c>
      <c r="C11" s="12" t="n">
        <v>236</v>
      </c>
      <c r="D11" s="12" t="s">
        <v>97</v>
      </c>
      <c r="E11" s="12" t="s">
        <v>99</v>
      </c>
      <c r="F11" s="12" t="s">
        <v>100</v>
      </c>
      <c r="G11" s="13" t="n">
        <v>100</v>
      </c>
      <c r="H11" s="14" t="n">
        <v>4071754</v>
      </c>
      <c r="I11" s="14" t="n">
        <v>0</v>
      </c>
      <c r="J11" s="14" t="n">
        <v>268674930</v>
      </c>
      <c r="K11" s="12" t="s">
        <v>92</v>
      </c>
    </row>
    <row r="12" customFormat="false" ht="15" hidden="false" customHeight="false" outlineLevel="0" collapsed="false">
      <c r="A12" s="12" t="n">
        <v>11</v>
      </c>
      <c r="B12" s="12" t="s">
        <v>81</v>
      </c>
      <c r="C12" s="12" t="n">
        <v>193</v>
      </c>
      <c r="D12" s="12" t="s">
        <v>112</v>
      </c>
      <c r="E12" s="12" t="s">
        <v>114</v>
      </c>
      <c r="F12" s="12" t="s">
        <v>115</v>
      </c>
      <c r="G12" s="13" t="n">
        <v>100</v>
      </c>
      <c r="H12" s="14" t="n">
        <v>50194</v>
      </c>
      <c r="I12" s="14" t="n">
        <v>0</v>
      </c>
      <c r="J12" s="14" t="n">
        <v>497891</v>
      </c>
      <c r="K12" s="12" t="s">
        <v>92</v>
      </c>
    </row>
    <row r="13" customFormat="false" ht="15" hidden="false" customHeight="false" outlineLevel="0" collapsed="false">
      <c r="A13" s="12" t="n">
        <v>12</v>
      </c>
      <c r="B13" s="12" t="s">
        <v>81</v>
      </c>
      <c r="C13" s="12" t="n">
        <v>242</v>
      </c>
      <c r="D13" s="12" t="s">
        <v>112</v>
      </c>
      <c r="E13" s="12" t="s">
        <v>114</v>
      </c>
      <c r="F13" s="12" t="s">
        <v>115</v>
      </c>
      <c r="G13" s="13" t="n">
        <v>100</v>
      </c>
      <c r="H13" s="14" t="n">
        <v>50194</v>
      </c>
      <c r="I13" s="14" t="n">
        <v>0</v>
      </c>
      <c r="J13" s="14" t="n">
        <v>497891</v>
      </c>
      <c r="K13" s="12" t="s">
        <v>92</v>
      </c>
    </row>
    <row r="14" customFormat="false" ht="15" hidden="false" customHeight="false" outlineLevel="0" collapsed="false">
      <c r="A14" s="12" t="n">
        <v>13</v>
      </c>
      <c r="B14" s="12" t="s">
        <v>81</v>
      </c>
      <c r="C14" s="12" t="n">
        <v>229</v>
      </c>
      <c r="D14" s="12" t="s">
        <v>153</v>
      </c>
      <c r="E14" s="12" t="s">
        <v>155</v>
      </c>
      <c r="F14" s="12" t="s">
        <v>156</v>
      </c>
      <c r="G14" s="13" t="n">
        <v>100</v>
      </c>
      <c r="H14" s="14" t="n">
        <v>41535</v>
      </c>
      <c r="I14" s="14" t="n">
        <v>0</v>
      </c>
      <c r="J14" s="14" t="n">
        <v>253596</v>
      </c>
      <c r="K14" s="12" t="s">
        <v>92</v>
      </c>
    </row>
    <row r="15" customFormat="false" ht="15" hidden="false" customHeight="false" outlineLevel="0" collapsed="false">
      <c r="A15" s="12" t="n">
        <v>14</v>
      </c>
      <c r="B15" s="12" t="s">
        <v>81</v>
      </c>
      <c r="C15" s="12" t="n">
        <v>216</v>
      </c>
      <c r="D15" s="12" t="s">
        <v>139</v>
      </c>
      <c r="E15" s="12" t="s">
        <v>141</v>
      </c>
      <c r="F15" s="12" t="s">
        <v>142</v>
      </c>
      <c r="G15" s="13" t="n">
        <v>100</v>
      </c>
      <c r="H15" s="14" t="n">
        <v>21625</v>
      </c>
      <c r="I15" s="14" t="n">
        <v>0</v>
      </c>
      <c r="J15" s="14" t="n">
        <v>261021</v>
      </c>
      <c r="K15" s="12" t="s">
        <v>79</v>
      </c>
    </row>
    <row r="16" customFormat="false" ht="15" hidden="false" customHeight="false" outlineLevel="0" collapsed="false">
      <c r="A16" s="12" t="n">
        <v>15</v>
      </c>
      <c r="B16" s="12" t="s">
        <v>81</v>
      </c>
      <c r="C16" s="12" t="n">
        <v>209</v>
      </c>
      <c r="D16" s="12" t="s">
        <v>131</v>
      </c>
      <c r="E16" s="12" t="s">
        <v>132</v>
      </c>
      <c r="F16" s="12" t="s">
        <v>133</v>
      </c>
      <c r="G16" s="13" t="n">
        <v>100</v>
      </c>
      <c r="H16" s="14" t="n">
        <v>5662</v>
      </c>
      <c r="I16" s="14" t="n">
        <v>0</v>
      </c>
      <c r="J16" s="14" t="n">
        <v>45421</v>
      </c>
      <c r="K16" s="12" t="s">
        <v>79</v>
      </c>
    </row>
    <row r="17" customFormat="false" ht="15" hidden="false" customHeight="false" outlineLevel="0" collapsed="false">
      <c r="A17" s="12" t="n">
        <v>16</v>
      </c>
      <c r="B17" s="12" t="s">
        <v>81</v>
      </c>
      <c r="C17" s="12" t="n">
        <v>163</v>
      </c>
      <c r="D17" s="12" t="s">
        <v>75</v>
      </c>
      <c r="E17" s="12" t="s">
        <v>77</v>
      </c>
      <c r="F17" s="12" t="s">
        <v>78</v>
      </c>
      <c r="G17" s="13" t="n">
        <v>100</v>
      </c>
      <c r="H17" s="14" t="n">
        <v>1189</v>
      </c>
      <c r="I17" s="14" t="n">
        <v>0</v>
      </c>
      <c r="J17" s="14" t="n">
        <v>35621</v>
      </c>
      <c r="K17" s="12" t="s">
        <v>79</v>
      </c>
    </row>
    <row r="18" customFormat="false" ht="15" hidden="false" customHeight="false" outlineLevel="0" collapsed="false">
      <c r="A18" s="12" t="n">
        <v>17</v>
      </c>
      <c r="B18" s="12" t="s">
        <v>81</v>
      </c>
      <c r="C18" s="12" t="n">
        <v>204</v>
      </c>
      <c r="D18" s="12" t="s">
        <v>123</v>
      </c>
      <c r="E18" s="12" t="s">
        <v>125</v>
      </c>
      <c r="F18" s="12" t="s">
        <v>126</v>
      </c>
      <c r="G18" s="13" t="n">
        <v>100</v>
      </c>
      <c r="H18" s="14" t="n">
        <v>1081</v>
      </c>
      <c r="I18" s="14" t="n">
        <v>0</v>
      </c>
      <c r="J18" s="14" t="n">
        <v>32175</v>
      </c>
      <c r="K18" s="12" t="s">
        <v>92</v>
      </c>
    </row>
    <row r="19" customFormat="false" ht="15" hidden="false" customHeight="false" outlineLevel="0" collapsed="false">
      <c r="A19" s="12" t="n">
        <v>18</v>
      </c>
      <c r="B19" s="12" t="s">
        <v>81</v>
      </c>
      <c r="C19" s="12" t="n">
        <v>238</v>
      </c>
      <c r="D19" s="12" t="s">
        <v>170</v>
      </c>
      <c r="E19" s="12" t="s">
        <v>171</v>
      </c>
      <c r="F19" s="12" t="s">
        <v>172</v>
      </c>
      <c r="G19" s="13" t="n">
        <v>100</v>
      </c>
      <c r="H19" s="14" t="n">
        <v>1044</v>
      </c>
      <c r="I19" s="14" t="n">
        <v>0</v>
      </c>
      <c r="J19" s="14" t="n">
        <v>22912</v>
      </c>
      <c r="K19" s="12" t="s">
        <v>79</v>
      </c>
    </row>
    <row r="20" customFormat="false" ht="15" hidden="false" customHeight="false" outlineLevel="0" collapsed="false">
      <c r="A20" s="12" t="n">
        <v>19</v>
      </c>
      <c r="B20" s="12" t="s">
        <v>81</v>
      </c>
      <c r="C20" s="12" t="n">
        <v>208</v>
      </c>
      <c r="D20" s="12" t="s">
        <v>127</v>
      </c>
      <c r="E20" s="12" t="s">
        <v>129</v>
      </c>
      <c r="F20" s="12" t="s">
        <v>130</v>
      </c>
      <c r="G20" s="13" t="n">
        <v>100</v>
      </c>
      <c r="H20" s="14" t="n">
        <v>1015</v>
      </c>
      <c r="I20" s="14" t="n">
        <v>0</v>
      </c>
      <c r="J20" s="14" t="n">
        <v>59055</v>
      </c>
      <c r="K20" s="12" t="s">
        <v>92</v>
      </c>
    </row>
    <row r="21" customFormat="false" ht="15" hidden="false" customHeight="false" outlineLevel="0" collapsed="false">
      <c r="A21" s="12" t="n">
        <v>20</v>
      </c>
      <c r="B21" s="12" t="s">
        <v>33</v>
      </c>
      <c r="C21" s="12" t="n">
        <v>188</v>
      </c>
      <c r="D21" s="12" t="s">
        <v>34</v>
      </c>
      <c r="E21" s="12" t="s">
        <v>35</v>
      </c>
      <c r="F21" s="12" t="s">
        <v>36</v>
      </c>
      <c r="G21" s="13" t="n">
        <v>100</v>
      </c>
      <c r="H21" s="14" t="n">
        <v>601</v>
      </c>
      <c r="I21" s="14" t="n">
        <v>0</v>
      </c>
      <c r="J21" s="14" t="n">
        <v>316306</v>
      </c>
      <c r="K21" s="12" t="s">
        <v>92</v>
      </c>
    </row>
    <row r="22" customFormat="false" ht="15" hidden="false" customHeight="false" outlineLevel="0" collapsed="false">
      <c r="A22" s="12" t="n">
        <v>21</v>
      </c>
      <c r="B22" s="12" t="s">
        <v>33</v>
      </c>
      <c r="C22" s="12" t="n">
        <v>217</v>
      </c>
      <c r="D22" s="12" t="s">
        <v>37</v>
      </c>
      <c r="E22" s="12" t="s">
        <v>38</v>
      </c>
      <c r="F22" s="12" t="s">
        <v>39</v>
      </c>
      <c r="G22" s="13" t="n">
        <v>100</v>
      </c>
      <c r="H22" s="14" t="n">
        <v>82</v>
      </c>
      <c r="I22" s="14" t="n">
        <v>0</v>
      </c>
      <c r="J22" s="14" t="n">
        <v>4663</v>
      </c>
      <c r="K22" s="12" t="s">
        <v>92</v>
      </c>
    </row>
    <row r="23" customFormat="false" ht="15" hidden="false" customHeight="false" outlineLevel="0" collapsed="false">
      <c r="A23" s="12" t="n">
        <v>22</v>
      </c>
      <c r="B23" s="12" t="s">
        <v>81</v>
      </c>
      <c r="C23" s="12" t="n">
        <v>180</v>
      </c>
      <c r="D23" s="12" t="s">
        <v>88</v>
      </c>
      <c r="E23" s="12" t="s">
        <v>90</v>
      </c>
      <c r="F23" s="12" t="s">
        <v>91</v>
      </c>
      <c r="G23" s="13" t="n">
        <v>95.9760956175299</v>
      </c>
      <c r="H23" s="14" t="n">
        <v>2510</v>
      </c>
      <c r="I23" s="14" t="n">
        <v>101</v>
      </c>
      <c r="J23" s="14" t="n">
        <v>10962</v>
      </c>
      <c r="K23" s="12" t="s">
        <v>92</v>
      </c>
    </row>
    <row r="24" customFormat="false" ht="15" hidden="false" customHeight="false" outlineLevel="0" collapsed="false">
      <c r="A24" s="12" t="n">
        <v>23</v>
      </c>
      <c r="B24" s="12" t="s">
        <v>81</v>
      </c>
      <c r="C24" s="12" t="n">
        <v>249</v>
      </c>
      <c r="D24" s="12" t="s">
        <v>186</v>
      </c>
      <c r="E24" s="12" t="s">
        <v>188</v>
      </c>
      <c r="F24" s="12" t="s">
        <v>189</v>
      </c>
      <c r="G24" s="13" t="n">
        <v>94.1663151747185</v>
      </c>
      <c r="H24" s="14" t="n">
        <v>30821</v>
      </c>
      <c r="I24" s="14" t="n">
        <v>1798</v>
      </c>
      <c r="J24" s="14" t="n">
        <v>730716</v>
      </c>
      <c r="K24" s="12" t="s">
        <v>79</v>
      </c>
    </row>
    <row r="25" customFormat="false" ht="15" hidden="false" customHeight="false" outlineLevel="0" collapsed="false">
      <c r="A25" s="12" t="n">
        <v>24</v>
      </c>
      <c r="B25" s="12" t="s">
        <v>81</v>
      </c>
      <c r="C25" s="12" t="n">
        <v>185</v>
      </c>
      <c r="D25" s="12" t="s">
        <v>102</v>
      </c>
      <c r="E25" s="12" t="s">
        <v>104</v>
      </c>
      <c r="F25" s="12" t="s">
        <v>105</v>
      </c>
      <c r="G25" s="13" t="n">
        <v>80.2226720647773</v>
      </c>
      <c r="H25" s="14" t="n">
        <v>69160</v>
      </c>
      <c r="I25" s="14" t="n">
        <v>13678</v>
      </c>
      <c r="J25" s="14" t="n">
        <v>349129</v>
      </c>
      <c r="K25" s="12" t="s">
        <v>79</v>
      </c>
    </row>
    <row r="26" customFormat="false" ht="15" hidden="false" customHeight="false" outlineLevel="0" collapsed="false">
      <c r="A26" s="12" t="n">
        <v>25</v>
      </c>
      <c r="B26" s="12" t="s">
        <v>81</v>
      </c>
      <c r="C26" s="12" t="n">
        <v>225</v>
      </c>
      <c r="D26" s="12" t="s">
        <v>102</v>
      </c>
      <c r="E26" s="12" t="s">
        <v>104</v>
      </c>
      <c r="F26" s="12" t="s">
        <v>105</v>
      </c>
      <c r="G26" s="13" t="n">
        <v>80.2226720647773</v>
      </c>
      <c r="H26" s="14" t="n">
        <v>69160</v>
      </c>
      <c r="I26" s="14" t="n">
        <v>13678</v>
      </c>
      <c r="J26" s="14" t="n">
        <v>349129</v>
      </c>
      <c r="K26" s="12" t="s">
        <v>79</v>
      </c>
    </row>
    <row r="27" customFormat="false" ht="15" hidden="false" customHeight="false" outlineLevel="0" collapsed="false">
      <c r="A27" s="12" t="n">
        <v>26</v>
      </c>
      <c r="B27" s="12" t="s">
        <v>81</v>
      </c>
      <c r="C27" s="12" t="n">
        <v>235</v>
      </c>
      <c r="D27" s="12" t="s">
        <v>168</v>
      </c>
      <c r="E27" s="12" t="s">
        <v>104</v>
      </c>
      <c r="F27" s="12" t="s">
        <v>105</v>
      </c>
      <c r="G27" s="13" t="n">
        <v>80.2226720647773</v>
      </c>
      <c r="H27" s="14" t="n">
        <v>69160</v>
      </c>
      <c r="I27" s="14" t="n">
        <v>13678</v>
      </c>
      <c r="J27" s="14" t="n">
        <v>349129</v>
      </c>
      <c r="K27" s="12" t="s">
        <v>79</v>
      </c>
    </row>
    <row r="28" customFormat="false" ht="15" hidden="false" customHeight="false" outlineLevel="0" collapsed="false">
      <c r="A28" s="12" t="n">
        <v>27</v>
      </c>
      <c r="B28" s="12" t="s">
        <v>81</v>
      </c>
      <c r="C28" s="12" t="n">
        <v>183</v>
      </c>
      <c r="D28" s="12" t="s">
        <v>93</v>
      </c>
      <c r="E28" s="12" t="s">
        <v>95</v>
      </c>
      <c r="F28" s="12" t="s">
        <v>96</v>
      </c>
      <c r="G28" s="13" t="n">
        <v>71.9915922228061</v>
      </c>
      <c r="H28" s="14" t="n">
        <v>17127</v>
      </c>
      <c r="I28" s="14" t="n">
        <v>4797</v>
      </c>
      <c r="J28" s="14" t="n">
        <v>133744</v>
      </c>
      <c r="K28" s="12" t="s">
        <v>92</v>
      </c>
    </row>
    <row r="29" customFormat="false" ht="15" hidden="false" customHeight="false" outlineLevel="0" collapsed="false">
      <c r="A29" s="12" t="n">
        <v>28</v>
      </c>
      <c r="B29" s="12" t="s">
        <v>81</v>
      </c>
      <c r="C29" s="12" t="n">
        <v>186</v>
      </c>
      <c r="D29" s="12" t="s">
        <v>93</v>
      </c>
      <c r="E29" s="12" t="s">
        <v>95</v>
      </c>
      <c r="F29" s="12" t="s">
        <v>96</v>
      </c>
      <c r="G29" s="13" t="n">
        <v>71.9915922228061</v>
      </c>
      <c r="H29" s="14" t="n">
        <v>17127</v>
      </c>
      <c r="I29" s="14" t="n">
        <v>4797</v>
      </c>
      <c r="J29" s="14" t="n">
        <v>133744</v>
      </c>
      <c r="K29" s="12" t="s">
        <v>92</v>
      </c>
    </row>
    <row r="30" customFormat="false" ht="15" hidden="false" customHeight="false" outlineLevel="0" collapsed="false">
      <c r="A30" s="12" t="n">
        <v>29</v>
      </c>
      <c r="B30" s="12" t="s">
        <v>81</v>
      </c>
      <c r="C30" s="12" t="n">
        <v>250</v>
      </c>
      <c r="D30" s="12" t="s">
        <v>191</v>
      </c>
      <c r="E30" s="12" t="s">
        <v>193</v>
      </c>
      <c r="F30" s="12" t="s">
        <v>194</v>
      </c>
      <c r="G30" s="13" t="n">
        <v>53.639846743295</v>
      </c>
      <c r="H30" s="14" t="n">
        <v>1044</v>
      </c>
      <c r="I30" s="14" t="n">
        <v>484</v>
      </c>
      <c r="J30" s="14" t="n">
        <v>14484</v>
      </c>
      <c r="K30" s="12" t="s">
        <v>92</v>
      </c>
    </row>
    <row r="31" customFormat="false" ht="15" hidden="false" customHeight="false" outlineLevel="0" collapsed="false">
      <c r="A31" s="12" t="n">
        <v>30</v>
      </c>
      <c r="B31" s="12" t="s">
        <v>81</v>
      </c>
      <c r="C31" s="12" t="n">
        <v>248</v>
      </c>
      <c r="D31" s="12" t="s">
        <v>182</v>
      </c>
      <c r="E31" s="12" t="s">
        <v>184</v>
      </c>
      <c r="F31" s="12" t="s">
        <v>185</v>
      </c>
      <c r="G31" s="13" t="n">
        <v>43.6664885088188</v>
      </c>
      <c r="H31" s="14" t="n">
        <v>1871</v>
      </c>
      <c r="I31" s="14" t="n">
        <v>1054</v>
      </c>
      <c r="J31" s="14" t="n">
        <v>19648</v>
      </c>
      <c r="K31" s="12" t="s">
        <v>92</v>
      </c>
    </row>
    <row r="32" customFormat="false" ht="15" hidden="false" customHeight="false" outlineLevel="0" collapsed="false">
      <c r="A32" s="12" t="n">
        <v>31</v>
      </c>
      <c r="B32" s="12" t="s">
        <v>81</v>
      </c>
      <c r="C32" s="12" t="n">
        <v>194</v>
      </c>
      <c r="D32" s="12" t="s">
        <v>117</v>
      </c>
      <c r="E32" s="12" t="s">
        <v>119</v>
      </c>
      <c r="F32" s="12" t="s">
        <v>120</v>
      </c>
      <c r="G32" s="13" t="n">
        <v>16.2349111623491</v>
      </c>
      <c r="H32" s="14" t="n">
        <v>7373</v>
      </c>
      <c r="I32" s="14" t="n">
        <v>6176</v>
      </c>
      <c r="J32" s="14" t="n">
        <v>301313</v>
      </c>
      <c r="K32" s="12" t="s">
        <v>92</v>
      </c>
    </row>
    <row r="33" customFormat="false" ht="15" hidden="false" customHeight="false" outlineLevel="0" collapsed="false">
      <c r="A33" s="12" t="n">
        <v>32</v>
      </c>
      <c r="B33" s="12" t="s">
        <v>81</v>
      </c>
      <c r="C33" s="12" t="n">
        <v>240</v>
      </c>
      <c r="D33" s="12" t="s">
        <v>176</v>
      </c>
      <c r="E33" s="12" t="s">
        <v>177</v>
      </c>
      <c r="F33" s="12" t="s">
        <v>178</v>
      </c>
      <c r="G33" s="13" t="n">
        <v>14.6593255333792</v>
      </c>
      <c r="H33" s="14" t="n">
        <v>1453</v>
      </c>
      <c r="I33" s="14" t="n">
        <v>1240</v>
      </c>
      <c r="J33" s="14" t="n">
        <v>0</v>
      </c>
      <c r="K33" s="12" t="s">
        <v>92</v>
      </c>
    </row>
    <row r="34" customFormat="false" ht="15" hidden="false" customHeight="false" outlineLevel="0" collapsed="false">
      <c r="A34" s="12" t="n">
        <v>33</v>
      </c>
      <c r="B34" s="12" t="s">
        <v>81</v>
      </c>
      <c r="C34" s="12" t="n">
        <v>244</v>
      </c>
      <c r="D34" s="12" t="s">
        <v>180</v>
      </c>
      <c r="E34" s="12" t="s">
        <v>177</v>
      </c>
      <c r="F34" s="12" t="s">
        <v>178</v>
      </c>
      <c r="G34" s="13" t="n">
        <v>14.6593255333792</v>
      </c>
      <c r="H34" s="14" t="n">
        <v>1453</v>
      </c>
      <c r="I34" s="14" t="n">
        <v>1240</v>
      </c>
      <c r="J34" s="14" t="n">
        <v>0</v>
      </c>
      <c r="K34" s="12" t="s">
        <v>92</v>
      </c>
    </row>
    <row r="35" customFormat="false" ht="15" hidden="false" customHeight="false" outlineLevel="0" collapsed="false">
      <c r="A35" s="12" t="n">
        <v>34</v>
      </c>
      <c r="B35" s="12" t="s">
        <v>81</v>
      </c>
      <c r="C35" s="12" t="n">
        <v>232</v>
      </c>
      <c r="D35" s="12" t="s">
        <v>157</v>
      </c>
      <c r="E35" s="12" t="s">
        <v>159</v>
      </c>
      <c r="F35" s="12" t="s">
        <v>160</v>
      </c>
      <c r="G35" s="13" t="n">
        <v>0.952380952380952</v>
      </c>
      <c r="H35" s="14" t="n">
        <v>1680</v>
      </c>
      <c r="I35" s="14" t="n">
        <v>1664</v>
      </c>
      <c r="J35" s="14" t="n">
        <v>6863</v>
      </c>
      <c r="K35" s="12" t="s">
        <v>92</v>
      </c>
    </row>
    <row r="36" customFormat="false" ht="15" hidden="false" customHeight="false" outlineLevel="0" collapsed="false">
      <c r="A36" s="12" t="n">
        <v>35</v>
      </c>
      <c r="B36" s="12" t="s">
        <v>81</v>
      </c>
      <c r="C36" s="12" t="n">
        <v>220</v>
      </c>
      <c r="D36" s="12" t="s">
        <v>145</v>
      </c>
      <c r="E36" s="12" t="s">
        <v>147</v>
      </c>
      <c r="F36" s="12" t="s">
        <v>148</v>
      </c>
      <c r="G36" s="13" t="n">
        <v>-26.25</v>
      </c>
      <c r="H36" s="14" t="n">
        <v>80</v>
      </c>
      <c r="I36" s="14" t="n">
        <v>101</v>
      </c>
      <c r="J36" s="14" t="n">
        <v>86848</v>
      </c>
      <c r="K36" s="12" t="s">
        <v>79</v>
      </c>
    </row>
    <row r="37" customFormat="false" ht="15" hidden="false" customHeight="false" outlineLevel="0" collapsed="false">
      <c r="A37" s="12" t="n">
        <v>36</v>
      </c>
      <c r="B37" s="12" t="s">
        <v>40</v>
      </c>
      <c r="C37" s="12" t="n">
        <v>241</v>
      </c>
      <c r="D37" s="12" t="s">
        <v>41</v>
      </c>
      <c r="E37" s="12" t="s">
        <v>42</v>
      </c>
      <c r="F37" s="12" t="s">
        <v>43</v>
      </c>
      <c r="G37" s="13" t="n">
        <v>-30.1535974130962</v>
      </c>
      <c r="H37" s="14" t="n">
        <v>2474</v>
      </c>
      <c r="I37" s="14" t="n">
        <v>3220</v>
      </c>
      <c r="J37" s="14" t="n">
        <v>435202</v>
      </c>
      <c r="K37" s="12" t="s">
        <v>92</v>
      </c>
    </row>
    <row r="38" customFormat="false" ht="15" hidden="false" customHeight="false" outlineLevel="0" collapsed="false">
      <c r="A38" s="12" t="n">
        <v>37</v>
      </c>
      <c r="B38" s="12" t="s">
        <v>40</v>
      </c>
      <c r="C38" s="12" t="n">
        <v>246</v>
      </c>
      <c r="D38" s="12" t="s">
        <v>44</v>
      </c>
      <c r="E38" s="12" t="s">
        <v>45</v>
      </c>
      <c r="F38" s="12" t="s">
        <v>46</v>
      </c>
      <c r="G38" s="13" t="n">
        <v>-1921.92192192192</v>
      </c>
      <c r="H38" s="14" t="n">
        <v>333</v>
      </c>
      <c r="I38" s="14" t="n">
        <v>6733</v>
      </c>
      <c r="J38" s="14" t="n">
        <v>383113</v>
      </c>
      <c r="K38" s="12" t="s">
        <v>79</v>
      </c>
    </row>
    <row r="42" customFormat="false" ht="15" hidden="false" customHeight="true" outlineLevel="0" collapsed="false">
      <c r="A42" s="15" t="s">
        <v>284</v>
      </c>
      <c r="B42" s="15"/>
      <c r="C42" s="15"/>
      <c r="D42" s="15"/>
      <c r="E42" s="15"/>
      <c r="F42" s="15"/>
      <c r="G42" s="15"/>
    </row>
    <row r="43" customFormat="false" ht="15" hidden="false" customHeight="false" outlineLevel="0" collapsed="false">
      <c r="A43" s="16" t="s">
        <v>18</v>
      </c>
      <c r="B43" s="16" t="s">
        <v>19</v>
      </c>
      <c r="C43" s="16" t="s">
        <v>54</v>
      </c>
      <c r="D43" s="16" t="s">
        <v>21</v>
      </c>
      <c r="E43" s="16" t="s">
        <v>22</v>
      </c>
      <c r="F43" s="16" t="s">
        <v>23</v>
      </c>
      <c r="G43" s="16" t="s">
        <v>285</v>
      </c>
    </row>
    <row r="44" customFormat="false" ht="15" hidden="false" customHeight="false" outlineLevel="0" collapsed="false">
      <c r="A44" s="12" t="s">
        <v>26</v>
      </c>
      <c r="B44" s="12" t="n">
        <v>187</v>
      </c>
      <c r="C44" s="12" t="s">
        <v>27</v>
      </c>
      <c r="D44" s="12" t="s">
        <v>28</v>
      </c>
      <c r="E44" s="12" t="s">
        <v>29</v>
      </c>
      <c r="F44" s="13" t="n">
        <v>100</v>
      </c>
      <c r="G44" s="12" t="s">
        <v>286</v>
      </c>
    </row>
    <row r="45" customFormat="false" ht="15" hidden="false" customHeight="false" outlineLevel="0" collapsed="false">
      <c r="A45" s="12" t="s">
        <v>26</v>
      </c>
      <c r="B45" s="12" t="n">
        <v>223</v>
      </c>
      <c r="C45" s="12" t="s">
        <v>30</v>
      </c>
      <c r="D45" s="12" t="s">
        <v>31</v>
      </c>
      <c r="E45" s="12" t="s">
        <v>32</v>
      </c>
      <c r="F45" s="13" t="n">
        <v>100</v>
      </c>
      <c r="G45" s="12" t="s">
        <v>286</v>
      </c>
    </row>
    <row r="46" customFormat="false" ht="15" hidden="false" customHeight="false" outlineLevel="0" collapsed="false">
      <c r="A46" s="12" t="s">
        <v>33</v>
      </c>
      <c r="B46" s="12" t="n">
        <v>188</v>
      </c>
      <c r="C46" s="12" t="s">
        <v>34</v>
      </c>
      <c r="D46" s="12" t="s">
        <v>35</v>
      </c>
      <c r="E46" s="12" t="s">
        <v>36</v>
      </c>
      <c r="F46" s="13" t="n">
        <v>100</v>
      </c>
      <c r="G46" s="12" t="s">
        <v>286</v>
      </c>
    </row>
    <row r="47" customFormat="false" ht="15" hidden="false" customHeight="false" outlineLevel="0" collapsed="false">
      <c r="A47" s="12" t="s">
        <v>33</v>
      </c>
      <c r="B47" s="12" t="n">
        <v>217</v>
      </c>
      <c r="C47" s="12" t="s">
        <v>37</v>
      </c>
      <c r="D47" s="12" t="s">
        <v>38</v>
      </c>
      <c r="E47" s="12" t="s">
        <v>39</v>
      </c>
      <c r="F47" s="13" t="n">
        <v>100</v>
      </c>
      <c r="G47" s="12" t="s">
        <v>286</v>
      </c>
    </row>
    <row r="48" customFormat="false" ht="15" hidden="false" customHeight="false" outlineLevel="0" collapsed="false">
      <c r="A48" s="12" t="s">
        <v>40</v>
      </c>
      <c r="B48" s="12" t="n">
        <v>241</v>
      </c>
      <c r="C48" s="12" t="s">
        <v>41</v>
      </c>
      <c r="D48" s="12" t="s">
        <v>42</v>
      </c>
      <c r="E48" s="12" t="s">
        <v>43</v>
      </c>
      <c r="F48" s="13" t="n">
        <v>-30.1535974130962</v>
      </c>
      <c r="G48" s="12" t="s">
        <v>286</v>
      </c>
    </row>
    <row r="49" customFormat="false" ht="15" hidden="false" customHeight="false" outlineLevel="0" collapsed="false">
      <c r="A49" s="12" t="s">
        <v>40</v>
      </c>
      <c r="B49" s="12" t="n">
        <v>246</v>
      </c>
      <c r="C49" s="12" t="s">
        <v>44</v>
      </c>
      <c r="D49" s="12" t="s">
        <v>45</v>
      </c>
      <c r="E49" s="12" t="s">
        <v>46</v>
      </c>
      <c r="F49" s="13" t="n">
        <v>-1921.92192192192</v>
      </c>
      <c r="G49" s="12" t="s">
        <v>286</v>
      </c>
    </row>
  </sheetData>
  <mergeCells count="1">
    <mergeCell ref="A42:G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.75"/>
    <col collapsed="false" customWidth="true" hidden="false" outlineLevel="0" max="3" min="3" style="0" width="21.25"/>
    <col collapsed="false" customWidth="true" hidden="false" outlineLevel="0" max="5" min="5" style="0" width="28.75"/>
    <col collapsed="false" customWidth="true" hidden="false" outlineLevel="0" max="6" min="6" style="0" width="13.75"/>
    <col collapsed="false" customWidth="true" hidden="false" outlineLevel="0" max="10" min="7" style="0" width="11.89"/>
    <col collapsed="false" customWidth="true" hidden="false" outlineLevel="0" max="11" min="11" style="0" width="10"/>
    <col collapsed="false" customWidth="true" hidden="false" outlineLevel="0" max="12" min="12" style="0" width="11.89"/>
    <col collapsed="false" customWidth="true" hidden="false" outlineLevel="0" max="13" min="13" style="0" width="45"/>
  </cols>
  <sheetData>
    <row r="1" customFormat="false" ht="15" hidden="false" customHeight="false" outlineLevel="0" collapsed="false">
      <c r="A1" s="8" t="s">
        <v>18</v>
      </c>
      <c r="B1" s="8" t="s">
        <v>19</v>
      </c>
      <c r="C1" s="8" t="s">
        <v>54</v>
      </c>
      <c r="D1" s="8" t="s">
        <v>195</v>
      </c>
      <c r="E1" s="8" t="s">
        <v>21</v>
      </c>
      <c r="F1" s="8" t="s">
        <v>22</v>
      </c>
      <c r="G1" s="8" t="s">
        <v>196</v>
      </c>
      <c r="H1" s="8" t="s">
        <v>197</v>
      </c>
      <c r="I1" s="8" t="s">
        <v>198</v>
      </c>
      <c r="J1" s="8" t="s">
        <v>199</v>
      </c>
      <c r="K1" s="8" t="s">
        <v>200</v>
      </c>
      <c r="L1" s="8" t="s">
        <v>201</v>
      </c>
      <c r="M1" s="8" t="s">
        <v>203</v>
      </c>
    </row>
    <row r="2" customFormat="false" ht="15" hidden="false" customHeight="false" outlineLevel="0" collapsed="false">
      <c r="A2" s="12" t="s">
        <v>26</v>
      </c>
      <c r="B2" s="12" t="n">
        <v>187</v>
      </c>
      <c r="C2" s="12" t="s">
        <v>27</v>
      </c>
      <c r="D2" s="12" t="n">
        <v>2023</v>
      </c>
      <c r="E2" s="12" t="s">
        <v>28</v>
      </c>
      <c r="F2" s="12" t="s">
        <v>29</v>
      </c>
      <c r="G2" s="14" t="n">
        <v>155745210</v>
      </c>
      <c r="H2" s="14" t="n">
        <v>27475435</v>
      </c>
      <c r="I2" s="14" t="n">
        <v>14174325</v>
      </c>
      <c r="J2" s="14" t="n">
        <v>0</v>
      </c>
      <c r="K2" s="12" t="s">
        <v>81</v>
      </c>
      <c r="L2" s="12" t="s">
        <v>208</v>
      </c>
      <c r="M2" s="12" t="s">
        <v>209</v>
      </c>
    </row>
    <row r="3" customFormat="false" ht="15" hidden="false" customHeight="false" outlineLevel="0" collapsed="false">
      <c r="A3" s="12" t="s">
        <v>26</v>
      </c>
      <c r="B3" s="12" t="n">
        <v>187</v>
      </c>
      <c r="C3" s="12" t="s">
        <v>27</v>
      </c>
      <c r="D3" s="12" t="n">
        <v>2024</v>
      </c>
      <c r="E3" s="12" t="s">
        <v>28</v>
      </c>
      <c r="F3" s="12" t="s">
        <v>29</v>
      </c>
      <c r="G3" s="14" t="n">
        <v>187357965</v>
      </c>
      <c r="H3" s="14" t="n">
        <v>35440526</v>
      </c>
      <c r="I3" s="14" t="n">
        <v>16959735</v>
      </c>
      <c r="J3" s="14" t="n">
        <v>0</v>
      </c>
      <c r="K3" s="12" t="s">
        <v>81</v>
      </c>
      <c r="L3" s="12" t="s">
        <v>210</v>
      </c>
      <c r="M3" s="12" t="s">
        <v>209</v>
      </c>
    </row>
    <row r="4" customFormat="false" ht="15" hidden="false" customHeight="false" outlineLevel="0" collapsed="false">
      <c r="A4" s="12" t="s">
        <v>26</v>
      </c>
      <c r="B4" s="12" t="n">
        <v>187</v>
      </c>
      <c r="C4" s="12" t="s">
        <v>27</v>
      </c>
      <c r="D4" s="12" t="n">
        <v>2025</v>
      </c>
      <c r="E4" s="12" t="s">
        <v>28</v>
      </c>
      <c r="F4" s="12" t="s">
        <v>29</v>
      </c>
      <c r="G4" s="14" t="n">
        <v>218572895</v>
      </c>
      <c r="H4" s="14" t="n">
        <v>37855764</v>
      </c>
      <c r="I4" s="14" t="n">
        <v>14405355</v>
      </c>
      <c r="J4" s="14" t="n">
        <v>0</v>
      </c>
      <c r="K4" s="12" t="s">
        <v>81</v>
      </c>
      <c r="L4" s="12" t="s">
        <v>211</v>
      </c>
      <c r="M4" s="12" t="s">
        <v>209</v>
      </c>
    </row>
    <row r="5" customFormat="false" ht="15" hidden="false" customHeight="false" outlineLevel="0" collapsed="false">
      <c r="A5" s="12" t="s">
        <v>26</v>
      </c>
      <c r="B5" s="12" t="n">
        <v>223</v>
      </c>
      <c r="C5" s="12" t="s">
        <v>30</v>
      </c>
      <c r="D5" s="12" t="n">
        <v>2023</v>
      </c>
      <c r="E5" s="12" t="s">
        <v>31</v>
      </c>
      <c r="F5" s="12" t="s">
        <v>32</v>
      </c>
      <c r="G5" s="14" t="n">
        <v>20168953</v>
      </c>
      <c r="H5" s="14" t="n">
        <v>14955521</v>
      </c>
      <c r="I5" s="14" t="n">
        <v>3539841</v>
      </c>
      <c r="J5" s="14" t="n">
        <v>0</v>
      </c>
      <c r="K5" s="12" t="s">
        <v>81</v>
      </c>
      <c r="L5" s="12" t="s">
        <v>230</v>
      </c>
      <c r="M5" s="12" t="s">
        <v>231</v>
      </c>
    </row>
    <row r="6" customFormat="false" ht="15" hidden="false" customHeight="false" outlineLevel="0" collapsed="false">
      <c r="A6" s="12" t="s">
        <v>26</v>
      </c>
      <c r="B6" s="12" t="n">
        <v>223</v>
      </c>
      <c r="C6" s="12" t="s">
        <v>30</v>
      </c>
      <c r="D6" s="12" t="n">
        <v>2024</v>
      </c>
      <c r="E6" s="12" t="s">
        <v>31</v>
      </c>
      <c r="F6" s="12" t="s">
        <v>32</v>
      </c>
      <c r="G6" s="14" t="n">
        <v>25930672</v>
      </c>
      <c r="H6" s="14" t="n">
        <v>20142693</v>
      </c>
      <c r="I6" s="14" t="n">
        <v>5678938</v>
      </c>
      <c r="J6" s="14" t="n">
        <v>0</v>
      </c>
      <c r="K6" s="12" t="s">
        <v>81</v>
      </c>
      <c r="L6" s="12" t="s">
        <v>232</v>
      </c>
      <c r="M6" s="12" t="s">
        <v>231</v>
      </c>
    </row>
    <row r="7" customFormat="false" ht="15" hidden="false" customHeight="false" outlineLevel="0" collapsed="false">
      <c r="A7" s="12" t="s">
        <v>26</v>
      </c>
      <c r="B7" s="12" t="n">
        <v>223</v>
      </c>
      <c r="C7" s="12" t="s">
        <v>30</v>
      </c>
      <c r="D7" s="12" t="n">
        <v>2025</v>
      </c>
      <c r="E7" s="12" t="s">
        <v>31</v>
      </c>
      <c r="F7" s="12" t="s">
        <v>32</v>
      </c>
      <c r="G7" s="14" t="n">
        <v>30813210</v>
      </c>
      <c r="H7" s="14" t="n">
        <v>24240245</v>
      </c>
      <c r="I7" s="14" t="n">
        <v>4115411</v>
      </c>
      <c r="J7" s="14" t="n">
        <v>0</v>
      </c>
      <c r="K7" s="12" t="s">
        <v>81</v>
      </c>
      <c r="L7" s="12" t="s">
        <v>233</v>
      </c>
      <c r="M7" s="12" t="s">
        <v>231</v>
      </c>
    </row>
    <row r="8" customFormat="false" ht="15" hidden="false" customHeight="false" outlineLevel="0" collapsed="false">
      <c r="A8" s="12" t="s">
        <v>33</v>
      </c>
      <c r="B8" s="12" t="n">
        <v>188</v>
      </c>
      <c r="C8" s="12" t="s">
        <v>34</v>
      </c>
      <c r="D8" s="12" t="n">
        <v>2023</v>
      </c>
      <c r="E8" s="12" t="s">
        <v>35</v>
      </c>
      <c r="F8" s="12" t="s">
        <v>36</v>
      </c>
      <c r="G8" s="14" t="s">
        <v>81</v>
      </c>
      <c r="H8" s="14" t="s">
        <v>81</v>
      </c>
      <c r="I8" s="14" t="s">
        <v>81</v>
      </c>
      <c r="J8" s="14" t="s">
        <v>81</v>
      </c>
      <c r="K8" s="12" t="s">
        <v>81</v>
      </c>
      <c r="L8" s="12" t="s">
        <v>81</v>
      </c>
      <c r="M8" s="12" t="s">
        <v>81</v>
      </c>
    </row>
    <row r="9" customFormat="false" ht="15" hidden="false" customHeight="false" outlineLevel="0" collapsed="false">
      <c r="A9" s="12" t="s">
        <v>33</v>
      </c>
      <c r="B9" s="12" t="n">
        <v>188</v>
      </c>
      <c r="C9" s="12" t="s">
        <v>34</v>
      </c>
      <c r="D9" s="12" t="n">
        <v>2024</v>
      </c>
      <c r="E9" s="12" t="s">
        <v>35</v>
      </c>
      <c r="F9" s="12" t="s">
        <v>36</v>
      </c>
      <c r="G9" s="14" t="n">
        <v>106727</v>
      </c>
      <c r="H9" s="14" t="s">
        <v>81</v>
      </c>
      <c r="I9" s="14" t="n">
        <v>485</v>
      </c>
      <c r="J9" s="14" t="n">
        <v>0</v>
      </c>
      <c r="K9" s="12" t="s">
        <v>81</v>
      </c>
      <c r="L9" s="12" t="s">
        <v>214</v>
      </c>
      <c r="M9" s="12" t="s">
        <v>225</v>
      </c>
    </row>
    <row r="10" customFormat="false" ht="15" hidden="false" customHeight="false" outlineLevel="0" collapsed="false">
      <c r="A10" s="12" t="s">
        <v>33</v>
      </c>
      <c r="B10" s="12" t="n">
        <v>188</v>
      </c>
      <c r="C10" s="12" t="s">
        <v>34</v>
      </c>
      <c r="D10" s="12" t="n">
        <v>2025</v>
      </c>
      <c r="E10" s="12" t="s">
        <v>35</v>
      </c>
      <c r="F10" s="12" t="s">
        <v>36</v>
      </c>
      <c r="G10" s="14" t="n">
        <v>209579</v>
      </c>
      <c r="H10" s="14" t="s">
        <v>81</v>
      </c>
      <c r="I10" s="14" t="n">
        <v>116</v>
      </c>
      <c r="J10" s="14" t="n">
        <v>0</v>
      </c>
      <c r="K10" s="12" t="s">
        <v>81</v>
      </c>
      <c r="L10" s="12" t="s">
        <v>207</v>
      </c>
      <c r="M10" s="12" t="s">
        <v>225</v>
      </c>
    </row>
    <row r="11" customFormat="false" ht="15" hidden="false" customHeight="false" outlineLevel="0" collapsed="false">
      <c r="A11" s="12" t="s">
        <v>33</v>
      </c>
      <c r="B11" s="12" t="n">
        <v>217</v>
      </c>
      <c r="C11" s="12" t="s">
        <v>37</v>
      </c>
      <c r="D11" s="12" t="n">
        <v>2023</v>
      </c>
      <c r="E11" s="12" t="s">
        <v>38</v>
      </c>
      <c r="F11" s="12" t="s">
        <v>39</v>
      </c>
      <c r="G11" s="14" t="n">
        <v>4663</v>
      </c>
      <c r="H11" s="14" t="s">
        <v>81</v>
      </c>
      <c r="I11" s="14" t="n">
        <v>82</v>
      </c>
      <c r="J11" s="14" t="n">
        <v>0</v>
      </c>
      <c r="K11" s="12" t="s">
        <v>81</v>
      </c>
      <c r="L11" s="12" t="s">
        <v>226</v>
      </c>
      <c r="M11" s="12" t="s">
        <v>246</v>
      </c>
    </row>
    <row r="12" customFormat="false" ht="15" hidden="false" customHeight="false" outlineLevel="0" collapsed="false">
      <c r="A12" s="12" t="s">
        <v>33</v>
      </c>
      <c r="B12" s="12" t="n">
        <v>217</v>
      </c>
      <c r="C12" s="12" t="s">
        <v>37</v>
      </c>
      <c r="D12" s="12" t="n">
        <v>2024</v>
      </c>
      <c r="E12" s="12" t="s">
        <v>38</v>
      </c>
      <c r="F12" s="12" t="s">
        <v>39</v>
      </c>
      <c r="G12" s="14" t="s">
        <v>81</v>
      </c>
      <c r="H12" s="14" t="s">
        <v>81</v>
      </c>
      <c r="I12" s="14" t="s">
        <v>81</v>
      </c>
      <c r="J12" s="14" t="s">
        <v>81</v>
      </c>
      <c r="K12" s="12" t="s">
        <v>81</v>
      </c>
      <c r="L12" s="12" t="s">
        <v>81</v>
      </c>
      <c r="M12" s="12" t="s">
        <v>81</v>
      </c>
    </row>
    <row r="13" customFormat="false" ht="15" hidden="false" customHeight="false" outlineLevel="0" collapsed="false">
      <c r="A13" s="12" t="s">
        <v>33</v>
      </c>
      <c r="B13" s="12" t="n">
        <v>217</v>
      </c>
      <c r="C13" s="12" t="s">
        <v>37</v>
      </c>
      <c r="D13" s="12" t="n">
        <v>2025</v>
      </c>
      <c r="E13" s="12" t="s">
        <v>38</v>
      </c>
      <c r="F13" s="12" t="s">
        <v>39</v>
      </c>
      <c r="G13" s="14" t="s">
        <v>81</v>
      </c>
      <c r="H13" s="14" t="s">
        <v>81</v>
      </c>
      <c r="I13" s="14" t="s">
        <v>81</v>
      </c>
      <c r="J13" s="14" t="s">
        <v>81</v>
      </c>
      <c r="K13" s="12" t="s">
        <v>81</v>
      </c>
      <c r="L13" s="12" t="s">
        <v>247</v>
      </c>
      <c r="M13" s="12" t="s">
        <v>246</v>
      </c>
    </row>
    <row r="14" customFormat="false" ht="15" hidden="false" customHeight="false" outlineLevel="0" collapsed="false">
      <c r="A14" s="12" t="s">
        <v>40</v>
      </c>
      <c r="B14" s="12" t="n">
        <v>241</v>
      </c>
      <c r="C14" s="12" t="s">
        <v>41</v>
      </c>
      <c r="D14" s="12" t="n">
        <v>2023</v>
      </c>
      <c r="E14" s="12" t="s">
        <v>42</v>
      </c>
      <c r="F14" s="12" t="s">
        <v>43</v>
      </c>
      <c r="G14" s="14" t="n">
        <v>126094</v>
      </c>
      <c r="H14" s="14" t="s">
        <v>81</v>
      </c>
      <c r="I14" s="14" t="n">
        <v>2204</v>
      </c>
      <c r="J14" s="14" t="n">
        <v>0</v>
      </c>
      <c r="K14" s="12" t="s">
        <v>81</v>
      </c>
      <c r="L14" s="12" t="s">
        <v>264</v>
      </c>
      <c r="M14" s="12" t="s">
        <v>265</v>
      </c>
    </row>
    <row r="15" customFormat="false" ht="15" hidden="false" customHeight="false" outlineLevel="0" collapsed="false">
      <c r="A15" s="12" t="s">
        <v>40</v>
      </c>
      <c r="B15" s="12" t="n">
        <v>241</v>
      </c>
      <c r="C15" s="12" t="s">
        <v>41</v>
      </c>
      <c r="D15" s="12" t="n">
        <v>2024</v>
      </c>
      <c r="E15" s="12" t="s">
        <v>42</v>
      </c>
      <c r="F15" s="12" t="s">
        <v>43</v>
      </c>
      <c r="G15" s="14" t="n">
        <v>164603</v>
      </c>
      <c r="H15" s="14" t="s">
        <v>81</v>
      </c>
      <c r="I15" s="14" t="n">
        <v>270</v>
      </c>
      <c r="J15" s="14" t="n">
        <v>0</v>
      </c>
      <c r="K15" s="12" t="s">
        <v>81</v>
      </c>
      <c r="L15" s="12" t="s">
        <v>266</v>
      </c>
      <c r="M15" s="12" t="s">
        <v>265</v>
      </c>
    </row>
    <row r="16" customFormat="false" ht="15" hidden="false" customHeight="false" outlineLevel="0" collapsed="false">
      <c r="A16" s="12" t="s">
        <v>40</v>
      </c>
      <c r="B16" s="12" t="n">
        <v>241</v>
      </c>
      <c r="C16" s="12" t="s">
        <v>41</v>
      </c>
      <c r="D16" s="12" t="n">
        <v>2025</v>
      </c>
      <c r="E16" s="12" t="s">
        <v>42</v>
      </c>
      <c r="F16" s="12" t="s">
        <v>43</v>
      </c>
      <c r="G16" s="14" t="n">
        <v>144505</v>
      </c>
      <c r="H16" s="14" t="s">
        <v>81</v>
      </c>
      <c r="I16" s="14" t="n">
        <v>0</v>
      </c>
      <c r="J16" s="14" t="n">
        <v>3220</v>
      </c>
      <c r="K16" s="12" t="s">
        <v>81</v>
      </c>
      <c r="L16" s="12" t="s">
        <v>267</v>
      </c>
      <c r="M16" s="12" t="s">
        <v>265</v>
      </c>
    </row>
    <row r="17" customFormat="false" ht="15" hidden="false" customHeight="false" outlineLevel="0" collapsed="false">
      <c r="A17" s="12" t="s">
        <v>40</v>
      </c>
      <c r="B17" s="12" t="n">
        <v>246</v>
      </c>
      <c r="C17" s="12" t="s">
        <v>44</v>
      </c>
      <c r="D17" s="12" t="n">
        <v>2023</v>
      </c>
      <c r="E17" s="12" t="s">
        <v>45</v>
      </c>
      <c r="F17" s="12" t="s">
        <v>46</v>
      </c>
      <c r="G17" s="14" t="n">
        <v>107076</v>
      </c>
      <c r="H17" s="14" t="s">
        <v>81</v>
      </c>
      <c r="I17" s="14" t="n">
        <v>333</v>
      </c>
      <c r="J17" s="14" t="n">
        <v>0</v>
      </c>
      <c r="K17" s="12" t="s">
        <v>81</v>
      </c>
      <c r="L17" s="12" t="s">
        <v>268</v>
      </c>
      <c r="M17" s="12" t="s">
        <v>269</v>
      </c>
    </row>
    <row r="18" customFormat="false" ht="15" hidden="false" customHeight="false" outlineLevel="0" collapsed="false">
      <c r="A18" s="12" t="s">
        <v>40</v>
      </c>
      <c r="B18" s="12" t="n">
        <v>246</v>
      </c>
      <c r="C18" s="12" t="s">
        <v>44</v>
      </c>
      <c r="D18" s="12" t="n">
        <v>2024</v>
      </c>
      <c r="E18" s="12" t="s">
        <v>45</v>
      </c>
      <c r="F18" s="12" t="s">
        <v>46</v>
      </c>
      <c r="G18" s="14" t="n">
        <v>126884</v>
      </c>
      <c r="H18" s="14" t="s">
        <v>81</v>
      </c>
      <c r="I18" s="14" t="n">
        <v>0</v>
      </c>
      <c r="J18" s="14" t="n">
        <v>5074</v>
      </c>
      <c r="K18" s="12" t="s">
        <v>81</v>
      </c>
      <c r="L18" s="12" t="s">
        <v>270</v>
      </c>
      <c r="M18" s="12" t="s">
        <v>269</v>
      </c>
    </row>
    <row r="19" customFormat="false" ht="15" hidden="false" customHeight="false" outlineLevel="0" collapsed="false">
      <c r="A19" s="12" t="s">
        <v>40</v>
      </c>
      <c r="B19" s="12" t="n">
        <v>246</v>
      </c>
      <c r="C19" s="12" t="s">
        <v>44</v>
      </c>
      <c r="D19" s="12" t="n">
        <v>2025</v>
      </c>
      <c r="E19" s="12" t="s">
        <v>45</v>
      </c>
      <c r="F19" s="12" t="s">
        <v>46</v>
      </c>
      <c r="G19" s="14" t="n">
        <v>149153</v>
      </c>
      <c r="H19" s="14" t="s">
        <v>81</v>
      </c>
      <c r="I19" s="14" t="n">
        <v>0</v>
      </c>
      <c r="J19" s="14" t="n">
        <v>1659</v>
      </c>
      <c r="K19" s="12" t="s">
        <v>81</v>
      </c>
      <c r="L19" s="12" t="s">
        <v>271</v>
      </c>
      <c r="M19" s="12" t="s">
        <v>269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0" style="0" width="42.5"/>
  </cols>
  <sheetData>
    <row r="1" customFormat="false" ht="15" hidden="false" customHeight="false" outlineLevel="0" collapsed="false">
      <c r="A1" s="8" t="s">
        <v>19</v>
      </c>
      <c r="B1" s="8" t="s">
        <v>54</v>
      </c>
      <c r="C1" s="8" t="s">
        <v>195</v>
      </c>
      <c r="D1" s="8" t="s">
        <v>287</v>
      </c>
      <c r="E1" s="8" t="s">
        <v>288</v>
      </c>
      <c r="F1" s="8" t="s">
        <v>289</v>
      </c>
      <c r="G1" s="8" t="s">
        <v>290</v>
      </c>
      <c r="H1" s="8" t="s">
        <v>291</v>
      </c>
      <c r="I1" s="8" t="s">
        <v>200</v>
      </c>
      <c r="J1" s="8" t="s">
        <v>292</v>
      </c>
    </row>
    <row r="2" customFormat="false" ht="15" hidden="false" customHeight="false" outlineLevel="0" collapsed="false">
      <c r="A2" s="12" t="n">
        <v>187</v>
      </c>
      <c r="B2" s="12" t="s">
        <v>27</v>
      </c>
      <c r="C2" s="12" t="n">
        <v>2023</v>
      </c>
      <c r="D2" s="12" t="s">
        <v>293</v>
      </c>
      <c r="E2" s="12" t="s">
        <v>81</v>
      </c>
      <c r="F2" s="12" t="s">
        <v>81</v>
      </c>
      <c r="G2" s="12" t="s">
        <v>81</v>
      </c>
      <c r="H2" s="12" t="s">
        <v>81</v>
      </c>
      <c r="I2" s="12" t="s">
        <v>81</v>
      </c>
      <c r="J2" s="12" t="s">
        <v>294</v>
      </c>
    </row>
    <row r="3" customFormat="false" ht="15" hidden="false" customHeight="false" outlineLevel="0" collapsed="false">
      <c r="A3" s="12" t="n">
        <v>187</v>
      </c>
      <c r="B3" s="12" t="s">
        <v>27</v>
      </c>
      <c r="C3" s="12" t="n">
        <v>2023</v>
      </c>
      <c r="D3" s="12" t="s">
        <v>295</v>
      </c>
      <c r="E3" s="12" t="s">
        <v>81</v>
      </c>
      <c r="F3" s="12" t="s">
        <v>81</v>
      </c>
      <c r="G3" s="12" t="s">
        <v>81</v>
      </c>
      <c r="H3" s="12" t="s">
        <v>81</v>
      </c>
      <c r="I3" s="12" t="s">
        <v>81</v>
      </c>
      <c r="J3" s="12" t="s">
        <v>294</v>
      </c>
    </row>
    <row r="4" customFormat="false" ht="15" hidden="false" customHeight="false" outlineLevel="0" collapsed="false">
      <c r="A4" s="12" t="n">
        <v>187</v>
      </c>
      <c r="B4" s="12" t="s">
        <v>27</v>
      </c>
      <c r="C4" s="12" t="n">
        <v>2023</v>
      </c>
      <c r="D4" s="12" t="s">
        <v>296</v>
      </c>
      <c r="E4" s="12" t="s">
        <v>81</v>
      </c>
      <c r="F4" s="12" t="s">
        <v>81</v>
      </c>
      <c r="G4" s="12" t="s">
        <v>81</v>
      </c>
      <c r="H4" s="12" t="s">
        <v>81</v>
      </c>
      <c r="I4" s="12" t="s">
        <v>81</v>
      </c>
      <c r="J4" s="12" t="s">
        <v>294</v>
      </c>
    </row>
    <row r="5" customFormat="false" ht="15" hidden="false" customHeight="false" outlineLevel="0" collapsed="false">
      <c r="A5" s="12" t="n">
        <v>187</v>
      </c>
      <c r="B5" s="12" t="s">
        <v>27</v>
      </c>
      <c r="C5" s="12" t="n">
        <v>2023</v>
      </c>
      <c r="D5" s="12" t="s">
        <v>297</v>
      </c>
      <c r="E5" s="12" t="s">
        <v>81</v>
      </c>
      <c r="F5" s="12" t="s">
        <v>81</v>
      </c>
      <c r="G5" s="12" t="s">
        <v>81</v>
      </c>
      <c r="H5" s="12" t="s">
        <v>81</v>
      </c>
      <c r="I5" s="12" t="s">
        <v>81</v>
      </c>
      <c r="J5" s="12" t="s">
        <v>294</v>
      </c>
    </row>
    <row r="6" customFormat="false" ht="15" hidden="false" customHeight="false" outlineLevel="0" collapsed="false">
      <c r="A6" s="12" t="n">
        <v>187</v>
      </c>
      <c r="B6" s="12" t="s">
        <v>27</v>
      </c>
      <c r="C6" s="12" t="n">
        <v>2024</v>
      </c>
      <c r="D6" s="12" t="s">
        <v>293</v>
      </c>
      <c r="E6" s="12" t="s">
        <v>81</v>
      </c>
      <c r="F6" s="12" t="s">
        <v>81</v>
      </c>
      <c r="G6" s="12" t="s">
        <v>81</v>
      </c>
      <c r="H6" s="12" t="s">
        <v>81</v>
      </c>
      <c r="I6" s="12" t="s">
        <v>81</v>
      </c>
      <c r="J6" s="12" t="s">
        <v>294</v>
      </c>
    </row>
    <row r="7" customFormat="false" ht="15" hidden="false" customHeight="false" outlineLevel="0" collapsed="false">
      <c r="A7" s="12" t="n">
        <v>187</v>
      </c>
      <c r="B7" s="12" t="s">
        <v>27</v>
      </c>
      <c r="C7" s="12" t="n">
        <v>2024</v>
      </c>
      <c r="D7" s="12" t="s">
        <v>295</v>
      </c>
      <c r="E7" s="12" t="s">
        <v>81</v>
      </c>
      <c r="F7" s="12" t="s">
        <v>81</v>
      </c>
      <c r="G7" s="12" t="s">
        <v>81</v>
      </c>
      <c r="H7" s="12" t="s">
        <v>81</v>
      </c>
      <c r="I7" s="12" t="s">
        <v>81</v>
      </c>
      <c r="J7" s="12" t="s">
        <v>294</v>
      </c>
    </row>
    <row r="8" customFormat="false" ht="15" hidden="false" customHeight="false" outlineLevel="0" collapsed="false">
      <c r="A8" s="12" t="n">
        <v>187</v>
      </c>
      <c r="B8" s="12" t="s">
        <v>27</v>
      </c>
      <c r="C8" s="12" t="n">
        <v>2024</v>
      </c>
      <c r="D8" s="12" t="s">
        <v>296</v>
      </c>
      <c r="E8" s="12" t="s">
        <v>81</v>
      </c>
      <c r="F8" s="12" t="s">
        <v>81</v>
      </c>
      <c r="G8" s="12" t="s">
        <v>81</v>
      </c>
      <c r="H8" s="12" t="s">
        <v>81</v>
      </c>
      <c r="I8" s="12" t="s">
        <v>81</v>
      </c>
      <c r="J8" s="12" t="s">
        <v>294</v>
      </c>
    </row>
    <row r="9" customFormat="false" ht="15" hidden="false" customHeight="false" outlineLevel="0" collapsed="false">
      <c r="A9" s="12" t="n">
        <v>187</v>
      </c>
      <c r="B9" s="12" t="s">
        <v>27</v>
      </c>
      <c r="C9" s="12" t="n">
        <v>2024</v>
      </c>
      <c r="D9" s="12" t="s">
        <v>297</v>
      </c>
      <c r="E9" s="12" t="s">
        <v>81</v>
      </c>
      <c r="F9" s="12" t="s">
        <v>81</v>
      </c>
      <c r="G9" s="12" t="s">
        <v>81</v>
      </c>
      <c r="H9" s="12" t="s">
        <v>81</v>
      </c>
      <c r="I9" s="12" t="s">
        <v>81</v>
      </c>
      <c r="J9" s="12" t="s">
        <v>294</v>
      </c>
    </row>
    <row r="10" customFormat="false" ht="15" hidden="false" customHeight="false" outlineLevel="0" collapsed="false">
      <c r="A10" s="12" t="n">
        <v>187</v>
      </c>
      <c r="B10" s="12" t="s">
        <v>27</v>
      </c>
      <c r="C10" s="12" t="n">
        <v>2025</v>
      </c>
      <c r="D10" s="12" t="s">
        <v>293</v>
      </c>
      <c r="E10" s="12" t="s">
        <v>81</v>
      </c>
      <c r="F10" s="12" t="s">
        <v>81</v>
      </c>
      <c r="G10" s="12" t="s">
        <v>81</v>
      </c>
      <c r="H10" s="12" t="s">
        <v>81</v>
      </c>
      <c r="I10" s="12" t="s">
        <v>81</v>
      </c>
      <c r="J10" s="12" t="s">
        <v>294</v>
      </c>
    </row>
    <row r="11" customFormat="false" ht="15" hidden="false" customHeight="false" outlineLevel="0" collapsed="false">
      <c r="A11" s="12" t="n">
        <v>187</v>
      </c>
      <c r="B11" s="12" t="s">
        <v>27</v>
      </c>
      <c r="C11" s="12" t="n">
        <v>2025</v>
      </c>
      <c r="D11" s="12" t="s">
        <v>295</v>
      </c>
      <c r="E11" s="12" t="s">
        <v>81</v>
      </c>
      <c r="F11" s="12" t="s">
        <v>81</v>
      </c>
      <c r="G11" s="12" t="s">
        <v>81</v>
      </c>
      <c r="H11" s="12" t="s">
        <v>81</v>
      </c>
      <c r="I11" s="12" t="s">
        <v>81</v>
      </c>
      <c r="J11" s="12" t="s">
        <v>294</v>
      </c>
    </row>
    <row r="12" customFormat="false" ht="15" hidden="false" customHeight="false" outlineLevel="0" collapsed="false">
      <c r="A12" s="12" t="n">
        <v>187</v>
      </c>
      <c r="B12" s="12" t="s">
        <v>27</v>
      </c>
      <c r="C12" s="12" t="n">
        <v>2025</v>
      </c>
      <c r="D12" s="12" t="s">
        <v>296</v>
      </c>
      <c r="E12" s="12" t="s">
        <v>81</v>
      </c>
      <c r="F12" s="12" t="s">
        <v>81</v>
      </c>
      <c r="G12" s="12" t="s">
        <v>81</v>
      </c>
      <c r="H12" s="12" t="s">
        <v>81</v>
      </c>
      <c r="I12" s="12" t="s">
        <v>81</v>
      </c>
      <c r="J12" s="12" t="s">
        <v>294</v>
      </c>
    </row>
    <row r="13" customFormat="false" ht="15" hidden="false" customHeight="false" outlineLevel="0" collapsed="false">
      <c r="A13" s="12" t="n">
        <v>187</v>
      </c>
      <c r="B13" s="12" t="s">
        <v>27</v>
      </c>
      <c r="C13" s="12" t="n">
        <v>2025</v>
      </c>
      <c r="D13" s="12" t="s">
        <v>297</v>
      </c>
      <c r="E13" s="12" t="s">
        <v>81</v>
      </c>
      <c r="F13" s="12" t="s">
        <v>81</v>
      </c>
      <c r="G13" s="12" t="s">
        <v>81</v>
      </c>
      <c r="H13" s="12" t="s">
        <v>81</v>
      </c>
      <c r="I13" s="12" t="s">
        <v>81</v>
      </c>
      <c r="J13" s="12" t="s">
        <v>294</v>
      </c>
    </row>
    <row r="14" customFormat="false" ht="15" hidden="false" customHeight="false" outlineLevel="0" collapsed="false">
      <c r="A14" s="12" t="n">
        <v>223</v>
      </c>
      <c r="B14" s="12" t="s">
        <v>30</v>
      </c>
      <c r="C14" s="12" t="n">
        <v>2023</v>
      </c>
      <c r="D14" s="12" t="s">
        <v>293</v>
      </c>
      <c r="E14" s="12" t="s">
        <v>81</v>
      </c>
      <c r="F14" s="12" t="s">
        <v>81</v>
      </c>
      <c r="G14" s="12" t="s">
        <v>81</v>
      </c>
      <c r="H14" s="12" t="s">
        <v>81</v>
      </c>
      <c r="I14" s="12" t="s">
        <v>81</v>
      </c>
      <c r="J14" s="12" t="s">
        <v>294</v>
      </c>
    </row>
    <row r="15" customFormat="false" ht="15" hidden="false" customHeight="false" outlineLevel="0" collapsed="false">
      <c r="A15" s="12" t="n">
        <v>223</v>
      </c>
      <c r="B15" s="12" t="s">
        <v>30</v>
      </c>
      <c r="C15" s="12" t="n">
        <v>2023</v>
      </c>
      <c r="D15" s="12" t="s">
        <v>295</v>
      </c>
      <c r="E15" s="12" t="s">
        <v>81</v>
      </c>
      <c r="F15" s="12" t="s">
        <v>81</v>
      </c>
      <c r="G15" s="12" t="s">
        <v>81</v>
      </c>
      <c r="H15" s="12" t="s">
        <v>81</v>
      </c>
      <c r="I15" s="12" t="s">
        <v>81</v>
      </c>
      <c r="J15" s="12" t="s">
        <v>294</v>
      </c>
    </row>
    <row r="16" customFormat="false" ht="15" hidden="false" customHeight="false" outlineLevel="0" collapsed="false">
      <c r="A16" s="12" t="n">
        <v>223</v>
      </c>
      <c r="B16" s="12" t="s">
        <v>30</v>
      </c>
      <c r="C16" s="12" t="n">
        <v>2023</v>
      </c>
      <c r="D16" s="12" t="s">
        <v>296</v>
      </c>
      <c r="E16" s="12" t="s">
        <v>81</v>
      </c>
      <c r="F16" s="12" t="s">
        <v>81</v>
      </c>
      <c r="G16" s="12" t="s">
        <v>81</v>
      </c>
      <c r="H16" s="12" t="s">
        <v>81</v>
      </c>
      <c r="I16" s="12" t="s">
        <v>81</v>
      </c>
      <c r="J16" s="12" t="s">
        <v>294</v>
      </c>
    </row>
    <row r="17" customFormat="false" ht="15" hidden="false" customHeight="false" outlineLevel="0" collapsed="false">
      <c r="A17" s="12" t="n">
        <v>223</v>
      </c>
      <c r="B17" s="12" t="s">
        <v>30</v>
      </c>
      <c r="C17" s="12" t="n">
        <v>2023</v>
      </c>
      <c r="D17" s="12" t="s">
        <v>297</v>
      </c>
      <c r="E17" s="12" t="s">
        <v>81</v>
      </c>
      <c r="F17" s="12" t="s">
        <v>81</v>
      </c>
      <c r="G17" s="12" t="s">
        <v>81</v>
      </c>
      <c r="H17" s="12" t="s">
        <v>81</v>
      </c>
      <c r="I17" s="12" t="s">
        <v>81</v>
      </c>
      <c r="J17" s="12" t="s">
        <v>294</v>
      </c>
    </row>
    <row r="18" customFormat="false" ht="15" hidden="false" customHeight="false" outlineLevel="0" collapsed="false">
      <c r="A18" s="12" t="n">
        <v>223</v>
      </c>
      <c r="B18" s="12" t="s">
        <v>30</v>
      </c>
      <c r="C18" s="12" t="n">
        <v>2024</v>
      </c>
      <c r="D18" s="12" t="s">
        <v>293</v>
      </c>
      <c r="E18" s="12" t="s">
        <v>81</v>
      </c>
      <c r="F18" s="12" t="s">
        <v>81</v>
      </c>
      <c r="G18" s="12" t="s">
        <v>81</v>
      </c>
      <c r="H18" s="12" t="s">
        <v>81</v>
      </c>
      <c r="I18" s="12" t="s">
        <v>81</v>
      </c>
      <c r="J18" s="12" t="s">
        <v>294</v>
      </c>
    </row>
    <row r="19" customFormat="false" ht="15" hidden="false" customHeight="false" outlineLevel="0" collapsed="false">
      <c r="A19" s="12" t="n">
        <v>223</v>
      </c>
      <c r="B19" s="12" t="s">
        <v>30</v>
      </c>
      <c r="C19" s="12" t="n">
        <v>2024</v>
      </c>
      <c r="D19" s="12" t="s">
        <v>295</v>
      </c>
      <c r="E19" s="12" t="s">
        <v>81</v>
      </c>
      <c r="F19" s="12" t="s">
        <v>81</v>
      </c>
      <c r="G19" s="12" t="s">
        <v>81</v>
      </c>
      <c r="H19" s="12" t="s">
        <v>81</v>
      </c>
      <c r="I19" s="12" t="s">
        <v>81</v>
      </c>
      <c r="J19" s="12" t="s">
        <v>294</v>
      </c>
    </row>
    <row r="20" customFormat="false" ht="15" hidden="false" customHeight="false" outlineLevel="0" collapsed="false">
      <c r="A20" s="12" t="n">
        <v>223</v>
      </c>
      <c r="B20" s="12" t="s">
        <v>30</v>
      </c>
      <c r="C20" s="12" t="n">
        <v>2024</v>
      </c>
      <c r="D20" s="12" t="s">
        <v>296</v>
      </c>
      <c r="E20" s="12" t="s">
        <v>81</v>
      </c>
      <c r="F20" s="12" t="s">
        <v>81</v>
      </c>
      <c r="G20" s="12" t="s">
        <v>81</v>
      </c>
      <c r="H20" s="12" t="s">
        <v>81</v>
      </c>
      <c r="I20" s="12" t="s">
        <v>81</v>
      </c>
      <c r="J20" s="12" t="s">
        <v>294</v>
      </c>
    </row>
    <row r="21" customFormat="false" ht="15" hidden="false" customHeight="false" outlineLevel="0" collapsed="false">
      <c r="A21" s="12" t="n">
        <v>223</v>
      </c>
      <c r="B21" s="12" t="s">
        <v>30</v>
      </c>
      <c r="C21" s="12" t="n">
        <v>2024</v>
      </c>
      <c r="D21" s="12" t="s">
        <v>297</v>
      </c>
      <c r="E21" s="12" t="s">
        <v>81</v>
      </c>
      <c r="F21" s="12" t="s">
        <v>81</v>
      </c>
      <c r="G21" s="12" t="s">
        <v>81</v>
      </c>
      <c r="H21" s="12" t="s">
        <v>81</v>
      </c>
      <c r="I21" s="12" t="s">
        <v>81</v>
      </c>
      <c r="J21" s="12" t="s">
        <v>294</v>
      </c>
    </row>
    <row r="22" customFormat="false" ht="15" hidden="false" customHeight="false" outlineLevel="0" collapsed="false">
      <c r="A22" s="12" t="n">
        <v>223</v>
      </c>
      <c r="B22" s="12" t="s">
        <v>30</v>
      </c>
      <c r="C22" s="12" t="n">
        <v>2025</v>
      </c>
      <c r="D22" s="12" t="s">
        <v>293</v>
      </c>
      <c r="E22" s="12" t="s">
        <v>81</v>
      </c>
      <c r="F22" s="12" t="s">
        <v>81</v>
      </c>
      <c r="G22" s="12" t="s">
        <v>81</v>
      </c>
      <c r="H22" s="12" t="s">
        <v>81</v>
      </c>
      <c r="I22" s="12" t="s">
        <v>81</v>
      </c>
      <c r="J22" s="12" t="s">
        <v>294</v>
      </c>
    </row>
    <row r="23" customFormat="false" ht="15" hidden="false" customHeight="false" outlineLevel="0" collapsed="false">
      <c r="A23" s="12" t="n">
        <v>223</v>
      </c>
      <c r="B23" s="12" t="s">
        <v>30</v>
      </c>
      <c r="C23" s="12" t="n">
        <v>2025</v>
      </c>
      <c r="D23" s="12" t="s">
        <v>295</v>
      </c>
      <c r="E23" s="12" t="s">
        <v>81</v>
      </c>
      <c r="F23" s="12" t="s">
        <v>81</v>
      </c>
      <c r="G23" s="12" t="s">
        <v>81</v>
      </c>
      <c r="H23" s="12" t="s">
        <v>81</v>
      </c>
      <c r="I23" s="12" t="s">
        <v>81</v>
      </c>
      <c r="J23" s="12" t="s">
        <v>294</v>
      </c>
    </row>
    <row r="24" customFormat="false" ht="15" hidden="false" customHeight="false" outlineLevel="0" collapsed="false">
      <c r="A24" s="12" t="n">
        <v>223</v>
      </c>
      <c r="B24" s="12" t="s">
        <v>30</v>
      </c>
      <c r="C24" s="12" t="n">
        <v>2025</v>
      </c>
      <c r="D24" s="12" t="s">
        <v>296</v>
      </c>
      <c r="E24" s="12" t="s">
        <v>81</v>
      </c>
      <c r="F24" s="12" t="s">
        <v>81</v>
      </c>
      <c r="G24" s="12" t="s">
        <v>81</v>
      </c>
      <c r="H24" s="12" t="s">
        <v>81</v>
      </c>
      <c r="I24" s="12" t="s">
        <v>81</v>
      </c>
      <c r="J24" s="12" t="s">
        <v>294</v>
      </c>
    </row>
    <row r="25" customFormat="false" ht="15" hidden="false" customHeight="false" outlineLevel="0" collapsed="false">
      <c r="A25" s="12" t="n">
        <v>223</v>
      </c>
      <c r="B25" s="12" t="s">
        <v>30</v>
      </c>
      <c r="C25" s="12" t="n">
        <v>2025</v>
      </c>
      <c r="D25" s="12" t="s">
        <v>297</v>
      </c>
      <c r="E25" s="12" t="s">
        <v>81</v>
      </c>
      <c r="F25" s="12" t="s">
        <v>81</v>
      </c>
      <c r="G25" s="12" t="s">
        <v>81</v>
      </c>
      <c r="H25" s="12" t="s">
        <v>81</v>
      </c>
      <c r="I25" s="12" t="s">
        <v>81</v>
      </c>
      <c r="J25" s="12" t="s">
        <v>294</v>
      </c>
    </row>
    <row r="26" customFormat="false" ht="15" hidden="false" customHeight="false" outlineLevel="0" collapsed="false">
      <c r="A26" s="12" t="n">
        <v>188</v>
      </c>
      <c r="B26" s="12" t="s">
        <v>34</v>
      </c>
      <c r="C26" s="12" t="n">
        <v>2023</v>
      </c>
      <c r="D26" s="12" t="s">
        <v>293</v>
      </c>
      <c r="E26" s="12" t="s">
        <v>81</v>
      </c>
      <c r="F26" s="12" t="s">
        <v>81</v>
      </c>
      <c r="G26" s="12" t="s">
        <v>81</v>
      </c>
      <c r="H26" s="12" t="s">
        <v>81</v>
      </c>
      <c r="I26" s="12" t="s">
        <v>81</v>
      </c>
      <c r="J26" s="12" t="s">
        <v>294</v>
      </c>
    </row>
    <row r="27" customFormat="false" ht="15" hidden="false" customHeight="false" outlineLevel="0" collapsed="false">
      <c r="A27" s="12" t="n">
        <v>188</v>
      </c>
      <c r="B27" s="12" t="s">
        <v>34</v>
      </c>
      <c r="C27" s="12" t="n">
        <v>2023</v>
      </c>
      <c r="D27" s="12" t="s">
        <v>295</v>
      </c>
      <c r="E27" s="12" t="s">
        <v>81</v>
      </c>
      <c r="F27" s="12" t="s">
        <v>81</v>
      </c>
      <c r="G27" s="12" t="s">
        <v>81</v>
      </c>
      <c r="H27" s="12" t="s">
        <v>81</v>
      </c>
      <c r="I27" s="12" t="s">
        <v>81</v>
      </c>
      <c r="J27" s="12" t="s">
        <v>294</v>
      </c>
    </row>
    <row r="28" customFormat="false" ht="15" hidden="false" customHeight="false" outlineLevel="0" collapsed="false">
      <c r="A28" s="12" t="n">
        <v>188</v>
      </c>
      <c r="B28" s="12" t="s">
        <v>34</v>
      </c>
      <c r="C28" s="12" t="n">
        <v>2023</v>
      </c>
      <c r="D28" s="12" t="s">
        <v>296</v>
      </c>
      <c r="E28" s="12" t="s">
        <v>81</v>
      </c>
      <c r="F28" s="12" t="s">
        <v>81</v>
      </c>
      <c r="G28" s="12" t="s">
        <v>81</v>
      </c>
      <c r="H28" s="12" t="s">
        <v>81</v>
      </c>
      <c r="I28" s="12" t="s">
        <v>81</v>
      </c>
      <c r="J28" s="12" t="s">
        <v>294</v>
      </c>
    </row>
    <row r="29" customFormat="false" ht="15" hidden="false" customHeight="false" outlineLevel="0" collapsed="false">
      <c r="A29" s="12" t="n">
        <v>188</v>
      </c>
      <c r="B29" s="12" t="s">
        <v>34</v>
      </c>
      <c r="C29" s="12" t="n">
        <v>2023</v>
      </c>
      <c r="D29" s="12" t="s">
        <v>297</v>
      </c>
      <c r="E29" s="12" t="s">
        <v>81</v>
      </c>
      <c r="F29" s="12" t="s">
        <v>81</v>
      </c>
      <c r="G29" s="12" t="s">
        <v>81</v>
      </c>
      <c r="H29" s="12" t="s">
        <v>81</v>
      </c>
      <c r="I29" s="12" t="s">
        <v>81</v>
      </c>
      <c r="J29" s="12" t="s">
        <v>294</v>
      </c>
    </row>
    <row r="30" customFormat="false" ht="15" hidden="false" customHeight="false" outlineLevel="0" collapsed="false">
      <c r="A30" s="12" t="n">
        <v>188</v>
      </c>
      <c r="B30" s="12" t="s">
        <v>34</v>
      </c>
      <c r="C30" s="12" t="n">
        <v>2024</v>
      </c>
      <c r="D30" s="12" t="s">
        <v>293</v>
      </c>
      <c r="E30" s="12" t="s">
        <v>81</v>
      </c>
      <c r="F30" s="12" t="s">
        <v>81</v>
      </c>
      <c r="G30" s="12" t="s">
        <v>81</v>
      </c>
      <c r="H30" s="12" t="s">
        <v>81</v>
      </c>
      <c r="I30" s="12" t="s">
        <v>81</v>
      </c>
      <c r="J30" s="12" t="s">
        <v>294</v>
      </c>
    </row>
    <row r="31" customFormat="false" ht="15" hidden="false" customHeight="false" outlineLevel="0" collapsed="false">
      <c r="A31" s="12" t="n">
        <v>188</v>
      </c>
      <c r="B31" s="12" t="s">
        <v>34</v>
      </c>
      <c r="C31" s="12" t="n">
        <v>2024</v>
      </c>
      <c r="D31" s="12" t="s">
        <v>295</v>
      </c>
      <c r="E31" s="12" t="s">
        <v>81</v>
      </c>
      <c r="F31" s="12" t="s">
        <v>81</v>
      </c>
      <c r="G31" s="12" t="s">
        <v>81</v>
      </c>
      <c r="H31" s="12" t="s">
        <v>81</v>
      </c>
      <c r="I31" s="12" t="s">
        <v>81</v>
      </c>
      <c r="J31" s="12" t="s">
        <v>294</v>
      </c>
    </row>
    <row r="32" customFormat="false" ht="15" hidden="false" customHeight="false" outlineLevel="0" collapsed="false">
      <c r="A32" s="12" t="n">
        <v>188</v>
      </c>
      <c r="B32" s="12" t="s">
        <v>34</v>
      </c>
      <c r="C32" s="12" t="n">
        <v>2024</v>
      </c>
      <c r="D32" s="12" t="s">
        <v>296</v>
      </c>
      <c r="E32" s="12" t="s">
        <v>81</v>
      </c>
      <c r="F32" s="12" t="s">
        <v>81</v>
      </c>
      <c r="G32" s="12" t="s">
        <v>81</v>
      </c>
      <c r="H32" s="12" t="s">
        <v>81</v>
      </c>
      <c r="I32" s="12" t="s">
        <v>81</v>
      </c>
      <c r="J32" s="12" t="s">
        <v>294</v>
      </c>
    </row>
    <row r="33" customFormat="false" ht="15" hidden="false" customHeight="false" outlineLevel="0" collapsed="false">
      <c r="A33" s="12" t="n">
        <v>188</v>
      </c>
      <c r="B33" s="12" t="s">
        <v>34</v>
      </c>
      <c r="C33" s="12" t="n">
        <v>2024</v>
      </c>
      <c r="D33" s="12" t="s">
        <v>297</v>
      </c>
      <c r="E33" s="12" t="s">
        <v>81</v>
      </c>
      <c r="F33" s="12" t="s">
        <v>81</v>
      </c>
      <c r="G33" s="12" t="s">
        <v>81</v>
      </c>
      <c r="H33" s="12" t="s">
        <v>81</v>
      </c>
      <c r="I33" s="12" t="s">
        <v>81</v>
      </c>
      <c r="J33" s="12" t="s">
        <v>294</v>
      </c>
    </row>
    <row r="34" customFormat="false" ht="15" hidden="false" customHeight="false" outlineLevel="0" collapsed="false">
      <c r="A34" s="12" t="n">
        <v>188</v>
      </c>
      <c r="B34" s="12" t="s">
        <v>34</v>
      </c>
      <c r="C34" s="12" t="n">
        <v>2025</v>
      </c>
      <c r="D34" s="12" t="s">
        <v>293</v>
      </c>
      <c r="E34" s="12" t="s">
        <v>81</v>
      </c>
      <c r="F34" s="12" t="s">
        <v>81</v>
      </c>
      <c r="G34" s="12" t="s">
        <v>81</v>
      </c>
      <c r="H34" s="12" t="s">
        <v>81</v>
      </c>
      <c r="I34" s="12" t="s">
        <v>81</v>
      </c>
      <c r="J34" s="12" t="s">
        <v>294</v>
      </c>
    </row>
    <row r="35" customFormat="false" ht="15" hidden="false" customHeight="false" outlineLevel="0" collapsed="false">
      <c r="A35" s="12" t="n">
        <v>188</v>
      </c>
      <c r="B35" s="12" t="s">
        <v>34</v>
      </c>
      <c r="C35" s="12" t="n">
        <v>2025</v>
      </c>
      <c r="D35" s="12" t="s">
        <v>295</v>
      </c>
      <c r="E35" s="12" t="s">
        <v>81</v>
      </c>
      <c r="F35" s="12" t="s">
        <v>81</v>
      </c>
      <c r="G35" s="12" t="s">
        <v>81</v>
      </c>
      <c r="H35" s="12" t="s">
        <v>81</v>
      </c>
      <c r="I35" s="12" t="s">
        <v>81</v>
      </c>
      <c r="J35" s="12" t="s">
        <v>294</v>
      </c>
    </row>
    <row r="36" customFormat="false" ht="15" hidden="false" customHeight="false" outlineLevel="0" collapsed="false">
      <c r="A36" s="12" t="n">
        <v>188</v>
      </c>
      <c r="B36" s="12" t="s">
        <v>34</v>
      </c>
      <c r="C36" s="12" t="n">
        <v>2025</v>
      </c>
      <c r="D36" s="12" t="s">
        <v>296</v>
      </c>
      <c r="E36" s="12" t="s">
        <v>81</v>
      </c>
      <c r="F36" s="12" t="s">
        <v>81</v>
      </c>
      <c r="G36" s="12" t="s">
        <v>81</v>
      </c>
      <c r="H36" s="12" t="s">
        <v>81</v>
      </c>
      <c r="I36" s="12" t="s">
        <v>81</v>
      </c>
      <c r="J36" s="12" t="s">
        <v>294</v>
      </c>
    </row>
    <row r="37" customFormat="false" ht="15" hidden="false" customHeight="false" outlineLevel="0" collapsed="false">
      <c r="A37" s="12" t="n">
        <v>188</v>
      </c>
      <c r="B37" s="12" t="s">
        <v>34</v>
      </c>
      <c r="C37" s="12" t="n">
        <v>2025</v>
      </c>
      <c r="D37" s="12" t="s">
        <v>297</v>
      </c>
      <c r="E37" s="12" t="s">
        <v>81</v>
      </c>
      <c r="F37" s="12" t="s">
        <v>81</v>
      </c>
      <c r="G37" s="12" t="s">
        <v>81</v>
      </c>
      <c r="H37" s="12" t="s">
        <v>81</v>
      </c>
      <c r="I37" s="12" t="s">
        <v>81</v>
      </c>
      <c r="J37" s="12" t="s">
        <v>294</v>
      </c>
    </row>
    <row r="38" customFormat="false" ht="15" hidden="false" customHeight="false" outlineLevel="0" collapsed="false">
      <c r="A38" s="12" t="n">
        <v>217</v>
      </c>
      <c r="B38" s="12" t="s">
        <v>37</v>
      </c>
      <c r="C38" s="12" t="n">
        <v>2023</v>
      </c>
      <c r="D38" s="12" t="s">
        <v>293</v>
      </c>
      <c r="E38" s="12" t="s">
        <v>81</v>
      </c>
      <c r="F38" s="12" t="s">
        <v>81</v>
      </c>
      <c r="G38" s="12" t="s">
        <v>81</v>
      </c>
      <c r="H38" s="12" t="s">
        <v>81</v>
      </c>
      <c r="I38" s="12" t="s">
        <v>81</v>
      </c>
      <c r="J38" s="12" t="s">
        <v>294</v>
      </c>
    </row>
    <row r="39" customFormat="false" ht="15" hidden="false" customHeight="false" outlineLevel="0" collapsed="false">
      <c r="A39" s="12" t="n">
        <v>217</v>
      </c>
      <c r="B39" s="12" t="s">
        <v>37</v>
      </c>
      <c r="C39" s="12" t="n">
        <v>2023</v>
      </c>
      <c r="D39" s="12" t="s">
        <v>295</v>
      </c>
      <c r="E39" s="12" t="s">
        <v>81</v>
      </c>
      <c r="F39" s="12" t="s">
        <v>81</v>
      </c>
      <c r="G39" s="12" t="s">
        <v>81</v>
      </c>
      <c r="H39" s="12" t="s">
        <v>81</v>
      </c>
      <c r="I39" s="12" t="s">
        <v>81</v>
      </c>
      <c r="J39" s="12" t="s">
        <v>294</v>
      </c>
    </row>
    <row r="40" customFormat="false" ht="15" hidden="false" customHeight="false" outlineLevel="0" collapsed="false">
      <c r="A40" s="12" t="n">
        <v>217</v>
      </c>
      <c r="B40" s="12" t="s">
        <v>37</v>
      </c>
      <c r="C40" s="12" t="n">
        <v>2023</v>
      </c>
      <c r="D40" s="12" t="s">
        <v>296</v>
      </c>
      <c r="E40" s="12" t="s">
        <v>81</v>
      </c>
      <c r="F40" s="12" t="s">
        <v>81</v>
      </c>
      <c r="G40" s="12" t="s">
        <v>81</v>
      </c>
      <c r="H40" s="12" t="s">
        <v>81</v>
      </c>
      <c r="I40" s="12" t="s">
        <v>81</v>
      </c>
      <c r="J40" s="12" t="s">
        <v>294</v>
      </c>
    </row>
    <row r="41" customFormat="false" ht="15" hidden="false" customHeight="false" outlineLevel="0" collapsed="false">
      <c r="A41" s="12" t="n">
        <v>217</v>
      </c>
      <c r="B41" s="12" t="s">
        <v>37</v>
      </c>
      <c r="C41" s="12" t="n">
        <v>2023</v>
      </c>
      <c r="D41" s="12" t="s">
        <v>297</v>
      </c>
      <c r="E41" s="12" t="s">
        <v>81</v>
      </c>
      <c r="F41" s="12" t="s">
        <v>81</v>
      </c>
      <c r="G41" s="12" t="s">
        <v>81</v>
      </c>
      <c r="H41" s="12" t="s">
        <v>81</v>
      </c>
      <c r="I41" s="12" t="s">
        <v>81</v>
      </c>
      <c r="J41" s="12" t="s">
        <v>294</v>
      </c>
    </row>
    <row r="42" customFormat="false" ht="15" hidden="false" customHeight="false" outlineLevel="0" collapsed="false">
      <c r="A42" s="12" t="n">
        <v>217</v>
      </c>
      <c r="B42" s="12" t="s">
        <v>37</v>
      </c>
      <c r="C42" s="12" t="n">
        <v>2024</v>
      </c>
      <c r="D42" s="12" t="s">
        <v>293</v>
      </c>
      <c r="E42" s="12" t="s">
        <v>81</v>
      </c>
      <c r="F42" s="12" t="s">
        <v>81</v>
      </c>
      <c r="G42" s="12" t="s">
        <v>81</v>
      </c>
      <c r="H42" s="12" t="s">
        <v>81</v>
      </c>
      <c r="I42" s="12" t="s">
        <v>81</v>
      </c>
      <c r="J42" s="12" t="s">
        <v>294</v>
      </c>
    </row>
    <row r="43" customFormat="false" ht="15" hidden="false" customHeight="false" outlineLevel="0" collapsed="false">
      <c r="A43" s="12" t="n">
        <v>217</v>
      </c>
      <c r="B43" s="12" t="s">
        <v>37</v>
      </c>
      <c r="C43" s="12" t="n">
        <v>2024</v>
      </c>
      <c r="D43" s="12" t="s">
        <v>295</v>
      </c>
      <c r="E43" s="12" t="s">
        <v>81</v>
      </c>
      <c r="F43" s="12" t="s">
        <v>81</v>
      </c>
      <c r="G43" s="12" t="s">
        <v>81</v>
      </c>
      <c r="H43" s="12" t="s">
        <v>81</v>
      </c>
      <c r="I43" s="12" t="s">
        <v>81</v>
      </c>
      <c r="J43" s="12" t="s">
        <v>294</v>
      </c>
    </row>
    <row r="44" customFormat="false" ht="15" hidden="false" customHeight="false" outlineLevel="0" collapsed="false">
      <c r="A44" s="12" t="n">
        <v>217</v>
      </c>
      <c r="B44" s="12" t="s">
        <v>37</v>
      </c>
      <c r="C44" s="12" t="n">
        <v>2024</v>
      </c>
      <c r="D44" s="12" t="s">
        <v>296</v>
      </c>
      <c r="E44" s="12" t="s">
        <v>81</v>
      </c>
      <c r="F44" s="12" t="s">
        <v>81</v>
      </c>
      <c r="G44" s="12" t="s">
        <v>81</v>
      </c>
      <c r="H44" s="12" t="s">
        <v>81</v>
      </c>
      <c r="I44" s="12" t="s">
        <v>81</v>
      </c>
      <c r="J44" s="12" t="s">
        <v>294</v>
      </c>
    </row>
    <row r="45" customFormat="false" ht="15" hidden="false" customHeight="false" outlineLevel="0" collapsed="false">
      <c r="A45" s="12" t="n">
        <v>217</v>
      </c>
      <c r="B45" s="12" t="s">
        <v>37</v>
      </c>
      <c r="C45" s="12" t="n">
        <v>2024</v>
      </c>
      <c r="D45" s="12" t="s">
        <v>297</v>
      </c>
      <c r="E45" s="12" t="s">
        <v>81</v>
      </c>
      <c r="F45" s="12" t="s">
        <v>81</v>
      </c>
      <c r="G45" s="12" t="s">
        <v>81</v>
      </c>
      <c r="H45" s="12" t="s">
        <v>81</v>
      </c>
      <c r="I45" s="12" t="s">
        <v>81</v>
      </c>
      <c r="J45" s="12" t="s">
        <v>294</v>
      </c>
    </row>
    <row r="46" customFormat="false" ht="15" hidden="false" customHeight="false" outlineLevel="0" collapsed="false">
      <c r="A46" s="12" t="n">
        <v>217</v>
      </c>
      <c r="B46" s="12" t="s">
        <v>37</v>
      </c>
      <c r="C46" s="12" t="n">
        <v>2025</v>
      </c>
      <c r="D46" s="12" t="s">
        <v>293</v>
      </c>
      <c r="E46" s="12" t="s">
        <v>81</v>
      </c>
      <c r="F46" s="12" t="s">
        <v>81</v>
      </c>
      <c r="G46" s="12" t="s">
        <v>81</v>
      </c>
      <c r="H46" s="12" t="s">
        <v>81</v>
      </c>
      <c r="I46" s="12" t="s">
        <v>81</v>
      </c>
      <c r="J46" s="12" t="s">
        <v>294</v>
      </c>
    </row>
    <row r="47" customFormat="false" ht="15" hidden="false" customHeight="false" outlineLevel="0" collapsed="false">
      <c r="A47" s="12" t="n">
        <v>217</v>
      </c>
      <c r="B47" s="12" t="s">
        <v>37</v>
      </c>
      <c r="C47" s="12" t="n">
        <v>2025</v>
      </c>
      <c r="D47" s="12" t="s">
        <v>295</v>
      </c>
      <c r="E47" s="12" t="s">
        <v>81</v>
      </c>
      <c r="F47" s="12" t="s">
        <v>81</v>
      </c>
      <c r="G47" s="12" t="s">
        <v>81</v>
      </c>
      <c r="H47" s="12" t="s">
        <v>81</v>
      </c>
      <c r="I47" s="12" t="s">
        <v>81</v>
      </c>
      <c r="J47" s="12" t="s">
        <v>294</v>
      </c>
    </row>
    <row r="48" customFormat="false" ht="15" hidden="false" customHeight="false" outlineLevel="0" collapsed="false">
      <c r="A48" s="12" t="n">
        <v>217</v>
      </c>
      <c r="B48" s="12" t="s">
        <v>37</v>
      </c>
      <c r="C48" s="12" t="n">
        <v>2025</v>
      </c>
      <c r="D48" s="12" t="s">
        <v>296</v>
      </c>
      <c r="E48" s="12" t="s">
        <v>81</v>
      </c>
      <c r="F48" s="12" t="s">
        <v>81</v>
      </c>
      <c r="G48" s="12" t="s">
        <v>81</v>
      </c>
      <c r="H48" s="12" t="s">
        <v>81</v>
      </c>
      <c r="I48" s="12" t="s">
        <v>81</v>
      </c>
      <c r="J48" s="12" t="s">
        <v>294</v>
      </c>
    </row>
    <row r="49" customFormat="false" ht="15" hidden="false" customHeight="false" outlineLevel="0" collapsed="false">
      <c r="A49" s="12" t="n">
        <v>217</v>
      </c>
      <c r="B49" s="12" t="s">
        <v>37</v>
      </c>
      <c r="C49" s="12" t="n">
        <v>2025</v>
      </c>
      <c r="D49" s="12" t="s">
        <v>297</v>
      </c>
      <c r="E49" s="12" t="s">
        <v>81</v>
      </c>
      <c r="F49" s="12" t="s">
        <v>81</v>
      </c>
      <c r="G49" s="12" t="s">
        <v>81</v>
      </c>
      <c r="H49" s="12" t="s">
        <v>81</v>
      </c>
      <c r="I49" s="12" t="s">
        <v>81</v>
      </c>
      <c r="J49" s="12" t="s">
        <v>294</v>
      </c>
    </row>
    <row r="50" customFormat="false" ht="15" hidden="false" customHeight="false" outlineLevel="0" collapsed="false">
      <c r="A50" s="12" t="n">
        <v>241</v>
      </c>
      <c r="B50" s="12" t="s">
        <v>41</v>
      </c>
      <c r="C50" s="12" t="n">
        <v>2023</v>
      </c>
      <c r="D50" s="12" t="s">
        <v>293</v>
      </c>
      <c r="E50" s="12" t="s">
        <v>81</v>
      </c>
      <c r="F50" s="12" t="s">
        <v>81</v>
      </c>
      <c r="G50" s="12" t="s">
        <v>81</v>
      </c>
      <c r="H50" s="12" t="s">
        <v>81</v>
      </c>
      <c r="I50" s="12" t="s">
        <v>81</v>
      </c>
      <c r="J50" s="12" t="s">
        <v>294</v>
      </c>
    </row>
    <row r="51" customFormat="false" ht="15" hidden="false" customHeight="false" outlineLevel="0" collapsed="false">
      <c r="A51" s="12" t="n">
        <v>241</v>
      </c>
      <c r="B51" s="12" t="s">
        <v>41</v>
      </c>
      <c r="C51" s="12" t="n">
        <v>2023</v>
      </c>
      <c r="D51" s="12" t="s">
        <v>295</v>
      </c>
      <c r="E51" s="12" t="s">
        <v>81</v>
      </c>
      <c r="F51" s="12" t="s">
        <v>81</v>
      </c>
      <c r="G51" s="12" t="s">
        <v>81</v>
      </c>
      <c r="H51" s="12" t="s">
        <v>81</v>
      </c>
      <c r="I51" s="12" t="s">
        <v>81</v>
      </c>
      <c r="J51" s="12" t="s">
        <v>294</v>
      </c>
    </row>
    <row r="52" customFormat="false" ht="15" hidden="false" customHeight="false" outlineLevel="0" collapsed="false">
      <c r="A52" s="12" t="n">
        <v>241</v>
      </c>
      <c r="B52" s="12" t="s">
        <v>41</v>
      </c>
      <c r="C52" s="12" t="n">
        <v>2023</v>
      </c>
      <c r="D52" s="12" t="s">
        <v>296</v>
      </c>
      <c r="E52" s="12" t="s">
        <v>81</v>
      </c>
      <c r="F52" s="12" t="s">
        <v>81</v>
      </c>
      <c r="G52" s="12" t="s">
        <v>81</v>
      </c>
      <c r="H52" s="12" t="s">
        <v>81</v>
      </c>
      <c r="I52" s="12" t="s">
        <v>81</v>
      </c>
      <c r="J52" s="12" t="s">
        <v>294</v>
      </c>
    </row>
    <row r="53" customFormat="false" ht="15" hidden="false" customHeight="false" outlineLevel="0" collapsed="false">
      <c r="A53" s="12" t="n">
        <v>241</v>
      </c>
      <c r="B53" s="12" t="s">
        <v>41</v>
      </c>
      <c r="C53" s="12" t="n">
        <v>2023</v>
      </c>
      <c r="D53" s="12" t="s">
        <v>297</v>
      </c>
      <c r="E53" s="12" t="s">
        <v>81</v>
      </c>
      <c r="F53" s="12" t="s">
        <v>81</v>
      </c>
      <c r="G53" s="12" t="s">
        <v>81</v>
      </c>
      <c r="H53" s="12" t="s">
        <v>81</v>
      </c>
      <c r="I53" s="12" t="s">
        <v>81</v>
      </c>
      <c r="J53" s="12" t="s">
        <v>294</v>
      </c>
    </row>
    <row r="54" customFormat="false" ht="15" hidden="false" customHeight="false" outlineLevel="0" collapsed="false">
      <c r="A54" s="12" t="n">
        <v>241</v>
      </c>
      <c r="B54" s="12" t="s">
        <v>41</v>
      </c>
      <c r="C54" s="12" t="n">
        <v>2024</v>
      </c>
      <c r="D54" s="12" t="s">
        <v>293</v>
      </c>
      <c r="E54" s="12" t="s">
        <v>81</v>
      </c>
      <c r="F54" s="12" t="s">
        <v>81</v>
      </c>
      <c r="G54" s="12" t="s">
        <v>81</v>
      </c>
      <c r="H54" s="12" t="s">
        <v>81</v>
      </c>
      <c r="I54" s="12" t="s">
        <v>81</v>
      </c>
      <c r="J54" s="12" t="s">
        <v>294</v>
      </c>
    </row>
    <row r="55" customFormat="false" ht="15" hidden="false" customHeight="false" outlineLevel="0" collapsed="false">
      <c r="A55" s="12" t="n">
        <v>241</v>
      </c>
      <c r="B55" s="12" t="s">
        <v>41</v>
      </c>
      <c r="C55" s="12" t="n">
        <v>2024</v>
      </c>
      <c r="D55" s="12" t="s">
        <v>295</v>
      </c>
      <c r="E55" s="12" t="s">
        <v>81</v>
      </c>
      <c r="F55" s="12" t="s">
        <v>81</v>
      </c>
      <c r="G55" s="12" t="s">
        <v>81</v>
      </c>
      <c r="H55" s="12" t="s">
        <v>81</v>
      </c>
      <c r="I55" s="12" t="s">
        <v>81</v>
      </c>
      <c r="J55" s="12" t="s">
        <v>294</v>
      </c>
    </row>
    <row r="56" customFormat="false" ht="15" hidden="false" customHeight="false" outlineLevel="0" collapsed="false">
      <c r="A56" s="12" t="n">
        <v>241</v>
      </c>
      <c r="B56" s="12" t="s">
        <v>41</v>
      </c>
      <c r="C56" s="12" t="n">
        <v>2024</v>
      </c>
      <c r="D56" s="12" t="s">
        <v>296</v>
      </c>
      <c r="E56" s="12" t="s">
        <v>81</v>
      </c>
      <c r="F56" s="12" t="s">
        <v>81</v>
      </c>
      <c r="G56" s="12" t="s">
        <v>81</v>
      </c>
      <c r="H56" s="12" t="s">
        <v>81</v>
      </c>
      <c r="I56" s="12" t="s">
        <v>81</v>
      </c>
      <c r="J56" s="12" t="s">
        <v>294</v>
      </c>
    </row>
    <row r="57" customFormat="false" ht="15" hidden="false" customHeight="false" outlineLevel="0" collapsed="false">
      <c r="A57" s="12" t="n">
        <v>241</v>
      </c>
      <c r="B57" s="12" t="s">
        <v>41</v>
      </c>
      <c r="C57" s="12" t="n">
        <v>2024</v>
      </c>
      <c r="D57" s="12" t="s">
        <v>297</v>
      </c>
      <c r="E57" s="12" t="s">
        <v>81</v>
      </c>
      <c r="F57" s="12" t="s">
        <v>81</v>
      </c>
      <c r="G57" s="12" t="s">
        <v>81</v>
      </c>
      <c r="H57" s="12" t="s">
        <v>81</v>
      </c>
      <c r="I57" s="12" t="s">
        <v>81</v>
      </c>
      <c r="J57" s="12" t="s">
        <v>294</v>
      </c>
    </row>
    <row r="58" customFormat="false" ht="15" hidden="false" customHeight="false" outlineLevel="0" collapsed="false">
      <c r="A58" s="12" t="n">
        <v>241</v>
      </c>
      <c r="B58" s="12" t="s">
        <v>41</v>
      </c>
      <c r="C58" s="12" t="n">
        <v>2025</v>
      </c>
      <c r="D58" s="12" t="s">
        <v>293</v>
      </c>
      <c r="E58" s="12" t="s">
        <v>81</v>
      </c>
      <c r="F58" s="12" t="s">
        <v>81</v>
      </c>
      <c r="G58" s="12" t="s">
        <v>81</v>
      </c>
      <c r="H58" s="12" t="s">
        <v>81</v>
      </c>
      <c r="I58" s="12" t="s">
        <v>81</v>
      </c>
      <c r="J58" s="12" t="s">
        <v>294</v>
      </c>
    </row>
    <row r="59" customFormat="false" ht="15" hidden="false" customHeight="false" outlineLevel="0" collapsed="false">
      <c r="A59" s="12" t="n">
        <v>241</v>
      </c>
      <c r="B59" s="12" t="s">
        <v>41</v>
      </c>
      <c r="C59" s="12" t="n">
        <v>2025</v>
      </c>
      <c r="D59" s="12" t="s">
        <v>295</v>
      </c>
      <c r="E59" s="12" t="s">
        <v>81</v>
      </c>
      <c r="F59" s="12" t="s">
        <v>81</v>
      </c>
      <c r="G59" s="12" t="s">
        <v>81</v>
      </c>
      <c r="H59" s="12" t="s">
        <v>81</v>
      </c>
      <c r="I59" s="12" t="s">
        <v>81</v>
      </c>
      <c r="J59" s="12" t="s">
        <v>294</v>
      </c>
    </row>
    <row r="60" customFormat="false" ht="15" hidden="false" customHeight="false" outlineLevel="0" collapsed="false">
      <c r="A60" s="12" t="n">
        <v>241</v>
      </c>
      <c r="B60" s="12" t="s">
        <v>41</v>
      </c>
      <c r="C60" s="12" t="n">
        <v>2025</v>
      </c>
      <c r="D60" s="12" t="s">
        <v>296</v>
      </c>
      <c r="E60" s="12" t="s">
        <v>81</v>
      </c>
      <c r="F60" s="12" t="s">
        <v>81</v>
      </c>
      <c r="G60" s="12" t="s">
        <v>81</v>
      </c>
      <c r="H60" s="12" t="s">
        <v>81</v>
      </c>
      <c r="I60" s="12" t="s">
        <v>81</v>
      </c>
      <c r="J60" s="12" t="s">
        <v>294</v>
      </c>
    </row>
    <row r="61" customFormat="false" ht="15" hidden="false" customHeight="false" outlineLevel="0" collapsed="false">
      <c r="A61" s="12" t="n">
        <v>241</v>
      </c>
      <c r="B61" s="12" t="s">
        <v>41</v>
      </c>
      <c r="C61" s="12" t="n">
        <v>2025</v>
      </c>
      <c r="D61" s="12" t="s">
        <v>297</v>
      </c>
      <c r="E61" s="12" t="s">
        <v>81</v>
      </c>
      <c r="F61" s="12" t="s">
        <v>81</v>
      </c>
      <c r="G61" s="12" t="s">
        <v>81</v>
      </c>
      <c r="H61" s="12" t="s">
        <v>81</v>
      </c>
      <c r="I61" s="12" t="s">
        <v>81</v>
      </c>
      <c r="J61" s="12" t="s">
        <v>294</v>
      </c>
    </row>
    <row r="62" customFormat="false" ht="15" hidden="false" customHeight="false" outlineLevel="0" collapsed="false">
      <c r="A62" s="12" t="n">
        <v>246</v>
      </c>
      <c r="B62" s="12" t="s">
        <v>44</v>
      </c>
      <c r="C62" s="12" t="n">
        <v>2023</v>
      </c>
      <c r="D62" s="12" t="s">
        <v>293</v>
      </c>
      <c r="E62" s="12" t="s">
        <v>81</v>
      </c>
      <c r="F62" s="12" t="s">
        <v>81</v>
      </c>
      <c r="G62" s="12" t="s">
        <v>81</v>
      </c>
      <c r="H62" s="12" t="s">
        <v>81</v>
      </c>
      <c r="I62" s="12" t="s">
        <v>81</v>
      </c>
      <c r="J62" s="12" t="s">
        <v>294</v>
      </c>
    </row>
    <row r="63" customFormat="false" ht="15" hidden="false" customHeight="false" outlineLevel="0" collapsed="false">
      <c r="A63" s="12" t="n">
        <v>246</v>
      </c>
      <c r="B63" s="12" t="s">
        <v>44</v>
      </c>
      <c r="C63" s="12" t="n">
        <v>2023</v>
      </c>
      <c r="D63" s="12" t="s">
        <v>295</v>
      </c>
      <c r="E63" s="12" t="s">
        <v>81</v>
      </c>
      <c r="F63" s="12" t="s">
        <v>81</v>
      </c>
      <c r="G63" s="12" t="s">
        <v>81</v>
      </c>
      <c r="H63" s="12" t="s">
        <v>81</v>
      </c>
      <c r="I63" s="12" t="s">
        <v>81</v>
      </c>
      <c r="J63" s="12" t="s">
        <v>294</v>
      </c>
    </row>
    <row r="64" customFormat="false" ht="15" hidden="false" customHeight="false" outlineLevel="0" collapsed="false">
      <c r="A64" s="12" t="n">
        <v>246</v>
      </c>
      <c r="B64" s="12" t="s">
        <v>44</v>
      </c>
      <c r="C64" s="12" t="n">
        <v>2023</v>
      </c>
      <c r="D64" s="12" t="s">
        <v>296</v>
      </c>
      <c r="E64" s="12" t="s">
        <v>81</v>
      </c>
      <c r="F64" s="12" t="s">
        <v>81</v>
      </c>
      <c r="G64" s="12" t="s">
        <v>81</v>
      </c>
      <c r="H64" s="12" t="s">
        <v>81</v>
      </c>
      <c r="I64" s="12" t="s">
        <v>81</v>
      </c>
      <c r="J64" s="12" t="s">
        <v>294</v>
      </c>
    </row>
    <row r="65" customFormat="false" ht="15" hidden="false" customHeight="false" outlineLevel="0" collapsed="false">
      <c r="A65" s="12" t="n">
        <v>246</v>
      </c>
      <c r="B65" s="12" t="s">
        <v>44</v>
      </c>
      <c r="C65" s="12" t="n">
        <v>2023</v>
      </c>
      <c r="D65" s="12" t="s">
        <v>297</v>
      </c>
      <c r="E65" s="12" t="s">
        <v>81</v>
      </c>
      <c r="F65" s="12" t="s">
        <v>81</v>
      </c>
      <c r="G65" s="12" t="s">
        <v>81</v>
      </c>
      <c r="H65" s="12" t="s">
        <v>81</v>
      </c>
      <c r="I65" s="12" t="s">
        <v>81</v>
      </c>
      <c r="J65" s="12" t="s">
        <v>294</v>
      </c>
    </row>
    <row r="66" customFormat="false" ht="15" hidden="false" customHeight="false" outlineLevel="0" collapsed="false">
      <c r="A66" s="12" t="n">
        <v>246</v>
      </c>
      <c r="B66" s="12" t="s">
        <v>44</v>
      </c>
      <c r="C66" s="12" t="n">
        <v>2024</v>
      </c>
      <c r="D66" s="12" t="s">
        <v>293</v>
      </c>
      <c r="E66" s="12" t="s">
        <v>81</v>
      </c>
      <c r="F66" s="12" t="s">
        <v>81</v>
      </c>
      <c r="G66" s="12" t="s">
        <v>81</v>
      </c>
      <c r="H66" s="12" t="s">
        <v>81</v>
      </c>
      <c r="I66" s="12" t="s">
        <v>81</v>
      </c>
      <c r="J66" s="12" t="s">
        <v>294</v>
      </c>
    </row>
    <row r="67" customFormat="false" ht="15" hidden="false" customHeight="false" outlineLevel="0" collapsed="false">
      <c r="A67" s="12" t="n">
        <v>246</v>
      </c>
      <c r="B67" s="12" t="s">
        <v>44</v>
      </c>
      <c r="C67" s="12" t="n">
        <v>2024</v>
      </c>
      <c r="D67" s="12" t="s">
        <v>295</v>
      </c>
      <c r="E67" s="12" t="s">
        <v>81</v>
      </c>
      <c r="F67" s="12" t="s">
        <v>81</v>
      </c>
      <c r="G67" s="12" t="s">
        <v>81</v>
      </c>
      <c r="H67" s="12" t="s">
        <v>81</v>
      </c>
      <c r="I67" s="12" t="s">
        <v>81</v>
      </c>
      <c r="J67" s="12" t="s">
        <v>294</v>
      </c>
    </row>
    <row r="68" customFormat="false" ht="15" hidden="false" customHeight="false" outlineLevel="0" collapsed="false">
      <c r="A68" s="12" t="n">
        <v>246</v>
      </c>
      <c r="B68" s="12" t="s">
        <v>44</v>
      </c>
      <c r="C68" s="12" t="n">
        <v>2024</v>
      </c>
      <c r="D68" s="12" t="s">
        <v>296</v>
      </c>
      <c r="E68" s="12" t="s">
        <v>81</v>
      </c>
      <c r="F68" s="12" t="s">
        <v>81</v>
      </c>
      <c r="G68" s="12" t="s">
        <v>81</v>
      </c>
      <c r="H68" s="12" t="s">
        <v>81</v>
      </c>
      <c r="I68" s="12" t="s">
        <v>81</v>
      </c>
      <c r="J68" s="12" t="s">
        <v>294</v>
      </c>
    </row>
    <row r="69" customFormat="false" ht="15" hidden="false" customHeight="false" outlineLevel="0" collapsed="false">
      <c r="A69" s="12" t="n">
        <v>246</v>
      </c>
      <c r="B69" s="12" t="s">
        <v>44</v>
      </c>
      <c r="C69" s="12" t="n">
        <v>2024</v>
      </c>
      <c r="D69" s="12" t="s">
        <v>297</v>
      </c>
      <c r="E69" s="12" t="s">
        <v>81</v>
      </c>
      <c r="F69" s="12" t="s">
        <v>81</v>
      </c>
      <c r="G69" s="12" t="s">
        <v>81</v>
      </c>
      <c r="H69" s="12" t="s">
        <v>81</v>
      </c>
      <c r="I69" s="12" t="s">
        <v>81</v>
      </c>
      <c r="J69" s="12" t="s">
        <v>294</v>
      </c>
    </row>
    <row r="70" customFormat="false" ht="15" hidden="false" customHeight="false" outlineLevel="0" collapsed="false">
      <c r="A70" s="12" t="n">
        <v>246</v>
      </c>
      <c r="B70" s="12" t="s">
        <v>44</v>
      </c>
      <c r="C70" s="12" t="n">
        <v>2025</v>
      </c>
      <c r="D70" s="12" t="s">
        <v>293</v>
      </c>
      <c r="E70" s="12" t="s">
        <v>81</v>
      </c>
      <c r="F70" s="12" t="s">
        <v>81</v>
      </c>
      <c r="G70" s="12" t="s">
        <v>81</v>
      </c>
      <c r="H70" s="12" t="s">
        <v>81</v>
      </c>
      <c r="I70" s="12" t="s">
        <v>81</v>
      </c>
      <c r="J70" s="12" t="s">
        <v>294</v>
      </c>
    </row>
    <row r="71" customFormat="false" ht="15" hidden="false" customHeight="false" outlineLevel="0" collapsed="false">
      <c r="A71" s="12" t="n">
        <v>246</v>
      </c>
      <c r="B71" s="12" t="s">
        <v>44</v>
      </c>
      <c r="C71" s="12" t="n">
        <v>2025</v>
      </c>
      <c r="D71" s="12" t="s">
        <v>295</v>
      </c>
      <c r="E71" s="12" t="s">
        <v>81</v>
      </c>
      <c r="F71" s="12" t="s">
        <v>81</v>
      </c>
      <c r="G71" s="12" t="s">
        <v>81</v>
      </c>
      <c r="H71" s="12" t="s">
        <v>81</v>
      </c>
      <c r="I71" s="12" t="s">
        <v>81</v>
      </c>
      <c r="J71" s="12" t="s">
        <v>294</v>
      </c>
    </row>
    <row r="72" customFormat="false" ht="15" hidden="false" customHeight="false" outlineLevel="0" collapsed="false">
      <c r="A72" s="12" t="n">
        <v>246</v>
      </c>
      <c r="B72" s="12" t="s">
        <v>44</v>
      </c>
      <c r="C72" s="12" t="n">
        <v>2025</v>
      </c>
      <c r="D72" s="12" t="s">
        <v>296</v>
      </c>
      <c r="E72" s="12" t="s">
        <v>81</v>
      </c>
      <c r="F72" s="12" t="s">
        <v>81</v>
      </c>
      <c r="G72" s="12" t="s">
        <v>81</v>
      </c>
      <c r="H72" s="12" t="s">
        <v>81</v>
      </c>
      <c r="I72" s="12" t="s">
        <v>81</v>
      </c>
      <c r="J72" s="12" t="s">
        <v>294</v>
      </c>
    </row>
    <row r="73" customFormat="false" ht="15" hidden="false" customHeight="false" outlineLevel="0" collapsed="false">
      <c r="A73" s="12" t="n">
        <v>246</v>
      </c>
      <c r="B73" s="12" t="s">
        <v>44</v>
      </c>
      <c r="C73" s="12" t="n">
        <v>2025</v>
      </c>
      <c r="D73" s="12" t="s">
        <v>297</v>
      </c>
      <c r="E73" s="12" t="s">
        <v>81</v>
      </c>
      <c r="F73" s="12" t="s">
        <v>81</v>
      </c>
      <c r="G73" s="12" t="s">
        <v>81</v>
      </c>
      <c r="H73" s="12" t="s">
        <v>81</v>
      </c>
      <c r="I73" s="12" t="s">
        <v>81</v>
      </c>
      <c r="J73" s="12" t="s">
        <v>294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false" showRowColHeaders="true" showZeros="true" rightToLeft="false" tabSelected="false" showOutlineSymbols="true" defaultGridColor="true" view="normal" topLeftCell="C28" colorId="64" zoomScale="100" zoomScaleNormal="100" zoomScalePageLayoutView="100" workbookViewId="0">
      <selection pane="topLeft" activeCell="G6" activeCellId="0" sqref="G6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.25"/>
  </cols>
  <sheetData>
    <row r="1" customFormat="false" ht="15" hidden="false" customHeight="true" outlineLevel="0" collapsed="false">
      <c r="A1" s="6" t="s">
        <v>298</v>
      </c>
      <c r="B1" s="6"/>
      <c r="C1" s="6"/>
      <c r="D1" s="6"/>
      <c r="E1" s="6"/>
      <c r="F1" s="6"/>
      <c r="G1" s="6"/>
    </row>
    <row r="2" customFormat="false" ht="15" hidden="false" customHeight="true" outlineLevel="0" collapsed="false">
      <c r="A2" s="7" t="s">
        <v>299</v>
      </c>
      <c r="B2" s="7"/>
      <c r="C2" s="7"/>
      <c r="D2" s="7"/>
      <c r="E2" s="7"/>
      <c r="F2" s="7"/>
      <c r="G2" s="7"/>
    </row>
    <row r="4" customFormat="false" ht="15" hidden="false" customHeight="true" outlineLevel="0" collapsed="false">
      <c r="A4" s="6" t="s">
        <v>288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17" t="s">
        <v>195</v>
      </c>
      <c r="B5" s="17" t="s">
        <v>300</v>
      </c>
      <c r="C5" s="17" t="s">
        <v>301</v>
      </c>
      <c r="D5" s="17" t="s">
        <v>302</v>
      </c>
      <c r="E5" s="17" t="s">
        <v>303</v>
      </c>
      <c r="F5" s="17" t="s">
        <v>304</v>
      </c>
      <c r="G5" s="17" t="s">
        <v>305</v>
      </c>
    </row>
    <row r="6" customFormat="false" ht="15" hidden="false" customHeight="false" outlineLevel="0" collapsed="false">
      <c r="A6" s="0" t="n">
        <v>2023</v>
      </c>
      <c r="B6" s="18" t="n">
        <v>155745210</v>
      </c>
      <c r="C6" s="18" t="n">
        <v>20168953</v>
      </c>
      <c r="D6" s="18" t="n">
        <v>0</v>
      </c>
      <c r="E6" s="18" t="n">
        <v>4663</v>
      </c>
      <c r="F6" s="18" t="n">
        <v>126094</v>
      </c>
      <c r="G6" s="18" t="n">
        <v>107076</v>
      </c>
    </row>
    <row r="7" customFormat="false" ht="15" hidden="false" customHeight="false" outlineLevel="0" collapsed="false">
      <c r="A7" s="0" t="n">
        <v>2024</v>
      </c>
      <c r="B7" s="18" t="n">
        <v>187357965</v>
      </c>
      <c r="C7" s="18" t="n">
        <v>25930672</v>
      </c>
      <c r="D7" s="18" t="n">
        <v>106727</v>
      </c>
      <c r="E7" s="18" t="n">
        <v>0</v>
      </c>
      <c r="F7" s="18" t="n">
        <v>164603</v>
      </c>
      <c r="G7" s="18" t="n">
        <v>126884</v>
      </c>
    </row>
    <row r="8" customFormat="false" ht="15" hidden="false" customHeight="false" outlineLevel="0" collapsed="false">
      <c r="A8" s="0" t="n">
        <v>2025</v>
      </c>
      <c r="B8" s="18" t="n">
        <v>218572895</v>
      </c>
      <c r="C8" s="18" t="n">
        <v>30813210</v>
      </c>
      <c r="D8" s="18" t="n">
        <v>209579</v>
      </c>
      <c r="E8" s="18" t="n">
        <v>0</v>
      </c>
      <c r="F8" s="18" t="n">
        <v>144505</v>
      </c>
      <c r="G8" s="18" t="n">
        <v>149153</v>
      </c>
    </row>
    <row r="22" customFormat="false" ht="383.55" hidden="false" customHeight="true" outlineLevel="0" collapsed="false"/>
    <row r="23" customFormat="false" ht="15" hidden="false" customHeight="true" outlineLevel="0" collapsed="false">
      <c r="A23" s="6" t="s">
        <v>289</v>
      </c>
      <c r="B23" s="6"/>
      <c r="C23" s="6"/>
      <c r="D23" s="6"/>
      <c r="E23" s="6"/>
      <c r="F23" s="6"/>
      <c r="G23" s="6"/>
    </row>
    <row r="24" customFormat="false" ht="15" hidden="false" customHeight="false" outlineLevel="0" collapsed="false">
      <c r="A24" s="17" t="s">
        <v>195</v>
      </c>
      <c r="B24" s="17" t="s">
        <v>300</v>
      </c>
      <c r="C24" s="17" t="s">
        <v>301</v>
      </c>
      <c r="D24" s="17" t="s">
        <v>302</v>
      </c>
      <c r="E24" s="17" t="s">
        <v>303</v>
      </c>
      <c r="F24" s="17" t="s">
        <v>304</v>
      </c>
      <c r="G24" s="17" t="s">
        <v>305</v>
      </c>
    </row>
    <row r="25" customFormat="false" ht="15" hidden="false" customHeight="false" outlineLevel="0" collapsed="false">
      <c r="A25" s="0" t="n">
        <v>2023</v>
      </c>
      <c r="B25" s="18" t="n">
        <v>27475435</v>
      </c>
      <c r="C25" s="18" t="n">
        <v>14955521</v>
      </c>
      <c r="D25" s="18"/>
      <c r="E25" s="18"/>
      <c r="F25" s="18"/>
      <c r="G25" s="18"/>
    </row>
    <row r="26" customFormat="false" ht="15" hidden="false" customHeight="false" outlineLevel="0" collapsed="false">
      <c r="A26" s="0" t="n">
        <v>2024</v>
      </c>
      <c r="B26" s="18" t="n">
        <v>35440526</v>
      </c>
      <c r="C26" s="18" t="n">
        <v>20142693</v>
      </c>
      <c r="D26" s="18"/>
      <c r="E26" s="18"/>
      <c r="F26" s="18"/>
      <c r="G26" s="18"/>
    </row>
    <row r="27" customFormat="false" ht="15" hidden="false" customHeight="false" outlineLevel="0" collapsed="false">
      <c r="A27" s="0" t="n">
        <v>2025</v>
      </c>
      <c r="B27" s="18" t="n">
        <v>37855764</v>
      </c>
      <c r="C27" s="18" t="n">
        <v>24240245</v>
      </c>
      <c r="D27" s="18"/>
      <c r="E27" s="18"/>
      <c r="F27" s="18"/>
      <c r="G27" s="18"/>
    </row>
    <row r="42" customFormat="false" ht="15" hidden="false" customHeight="true" outlineLevel="0" collapsed="false">
      <c r="A42" s="6" t="s">
        <v>306</v>
      </c>
      <c r="B42" s="6"/>
      <c r="C42" s="6"/>
      <c r="D42" s="6"/>
      <c r="E42" s="6"/>
      <c r="F42" s="6"/>
      <c r="G42" s="6"/>
    </row>
    <row r="43" customFormat="false" ht="15" hidden="false" customHeight="false" outlineLevel="0" collapsed="false">
      <c r="A43" s="17" t="s">
        <v>195</v>
      </c>
      <c r="B43" s="17" t="s">
        <v>300</v>
      </c>
      <c r="C43" s="17" t="s">
        <v>301</v>
      </c>
      <c r="D43" s="17" t="s">
        <v>302</v>
      </c>
      <c r="E43" s="17" t="s">
        <v>303</v>
      </c>
      <c r="F43" s="17" t="s">
        <v>304</v>
      </c>
      <c r="G43" s="17" t="s">
        <v>305</v>
      </c>
    </row>
    <row r="44" customFormat="false" ht="15" hidden="false" customHeight="false" outlineLevel="0" collapsed="false">
      <c r="A44" s="0" t="n">
        <v>2023</v>
      </c>
      <c r="B44" s="18" t="n">
        <v>14174325</v>
      </c>
      <c r="C44" s="18" t="n">
        <v>3539841</v>
      </c>
      <c r="D44" s="18"/>
      <c r="E44" s="18" t="n">
        <v>82</v>
      </c>
      <c r="F44" s="18" t="n">
        <v>2204</v>
      </c>
      <c r="G44" s="18" t="n">
        <v>333</v>
      </c>
    </row>
    <row r="45" customFormat="false" ht="15" hidden="false" customHeight="false" outlineLevel="0" collapsed="false">
      <c r="A45" s="0" t="n">
        <v>2024</v>
      </c>
      <c r="B45" s="18" t="n">
        <v>16959735</v>
      </c>
      <c r="C45" s="18" t="n">
        <v>5678938</v>
      </c>
      <c r="D45" s="18" t="n">
        <v>485</v>
      </c>
      <c r="E45" s="18"/>
      <c r="F45" s="18" t="n">
        <v>270</v>
      </c>
      <c r="G45" s="18" t="n">
        <v>-5074</v>
      </c>
    </row>
    <row r="46" customFormat="false" ht="15" hidden="false" customHeight="false" outlineLevel="0" collapsed="false">
      <c r="A46" s="0" t="n">
        <v>2025</v>
      </c>
      <c r="B46" s="18" t="n">
        <v>14405355</v>
      </c>
      <c r="C46" s="18" t="n">
        <v>4115411</v>
      </c>
      <c r="D46" s="18" t="n">
        <v>116</v>
      </c>
      <c r="E46" s="18"/>
      <c r="F46" s="18" t="n">
        <v>-3220</v>
      </c>
      <c r="G46" s="18" t="n">
        <v>-1659</v>
      </c>
    </row>
    <row r="61" customFormat="false" ht="15" hidden="false" customHeight="true" outlineLevel="0" collapsed="false">
      <c r="A61" s="6" t="s">
        <v>307</v>
      </c>
      <c r="B61" s="6"/>
    </row>
    <row r="62" customFormat="false" ht="15" hidden="false" customHeight="false" outlineLevel="0" collapsed="false">
      <c r="A62" s="19" t="s">
        <v>20</v>
      </c>
      <c r="B62" s="19" t="s">
        <v>23</v>
      </c>
    </row>
    <row r="63" customFormat="false" ht="15" hidden="false" customHeight="false" outlineLevel="0" collapsed="false">
      <c r="A63" s="0" t="s">
        <v>300</v>
      </c>
      <c r="B63" s="20" t="n">
        <v>100</v>
      </c>
    </row>
    <row r="64" customFormat="false" ht="15" hidden="false" customHeight="false" outlineLevel="0" collapsed="false">
      <c r="A64" s="0" t="s">
        <v>301</v>
      </c>
      <c r="B64" s="20" t="n">
        <v>100</v>
      </c>
    </row>
    <row r="65" customFormat="false" ht="15" hidden="false" customHeight="false" outlineLevel="0" collapsed="false">
      <c r="A65" s="0" t="s">
        <v>302</v>
      </c>
      <c r="B65" s="20" t="n">
        <v>100</v>
      </c>
    </row>
    <row r="66" customFormat="false" ht="15" hidden="false" customHeight="false" outlineLevel="0" collapsed="false">
      <c r="A66" s="0" t="s">
        <v>303</v>
      </c>
      <c r="B66" s="20" t="n">
        <v>100</v>
      </c>
    </row>
    <row r="67" customFormat="false" ht="15" hidden="false" customHeight="false" outlineLevel="0" collapsed="false">
      <c r="A67" s="0" t="s">
        <v>304</v>
      </c>
      <c r="B67" s="20" t="n">
        <v>-30.1535974130962</v>
      </c>
    </row>
    <row r="68" customFormat="false" ht="15" hidden="false" customHeight="false" outlineLevel="0" collapsed="false">
      <c r="A68" s="0" t="s">
        <v>305</v>
      </c>
      <c r="B68" s="20" t="n">
        <v>-1921.92192192192</v>
      </c>
    </row>
  </sheetData>
  <mergeCells count="6">
    <mergeCell ref="A1:G1"/>
    <mergeCell ref="A2:G2"/>
    <mergeCell ref="A4:G4"/>
    <mergeCell ref="A23:G23"/>
    <mergeCell ref="A42:G42"/>
    <mergeCell ref="A61:B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75"/>
    <col collapsed="false" customWidth="true" hidden="false" outlineLevel="0" max="2" min="2" style="0" width="13.75"/>
    <col collapsed="false" customWidth="true" hidden="false" outlineLevel="0" max="3" min="3" style="0" width="37.5"/>
    <col collapsed="false" customWidth="true" hidden="false" outlineLevel="0" max="4" min="4" style="0" width="9.38"/>
    <col collapsed="false" customWidth="true" hidden="false" outlineLevel="0" max="6" min="5" style="0" width="52.5"/>
  </cols>
  <sheetData>
    <row r="1" customFormat="false" ht="15" hidden="false" customHeight="false" outlineLevel="0" collapsed="false">
      <c r="A1" s="8" t="s">
        <v>203</v>
      </c>
      <c r="B1" s="8" t="s">
        <v>22</v>
      </c>
      <c r="C1" s="8" t="s">
        <v>21</v>
      </c>
      <c r="D1" s="8" t="s">
        <v>308</v>
      </c>
      <c r="E1" s="8" t="s">
        <v>309</v>
      </c>
      <c r="F1" s="8" t="s">
        <v>47</v>
      </c>
    </row>
    <row r="2" customFormat="false" ht="15" hidden="false" customHeight="false" outlineLevel="0" collapsed="false">
      <c r="A2" s="12" t="s">
        <v>9</v>
      </c>
      <c r="B2" s="12" t="s">
        <v>78</v>
      </c>
      <c r="C2" s="12" t="s">
        <v>77</v>
      </c>
      <c r="D2" s="12"/>
      <c r="E2" s="12" t="s">
        <v>205</v>
      </c>
      <c r="F2" s="12" t="s">
        <v>310</v>
      </c>
    </row>
    <row r="3" customFormat="false" ht="15" hidden="false" customHeight="false" outlineLevel="0" collapsed="false">
      <c r="A3" s="12" t="s">
        <v>9</v>
      </c>
      <c r="B3" s="12" t="s">
        <v>29</v>
      </c>
      <c r="C3" s="12" t="s">
        <v>28</v>
      </c>
      <c r="D3" s="12"/>
      <c r="E3" s="12" t="s">
        <v>209</v>
      </c>
      <c r="F3" s="12" t="s">
        <v>310</v>
      </c>
    </row>
    <row r="4" customFormat="false" ht="15" hidden="false" customHeight="false" outlineLevel="0" collapsed="false">
      <c r="A4" s="12" t="s">
        <v>9</v>
      </c>
      <c r="B4" s="12" t="s">
        <v>91</v>
      </c>
      <c r="C4" s="12" t="s">
        <v>90</v>
      </c>
      <c r="D4" s="12"/>
      <c r="E4" s="12" t="s">
        <v>213</v>
      </c>
      <c r="F4" s="12" t="s">
        <v>310</v>
      </c>
    </row>
    <row r="5" customFormat="false" ht="15" hidden="false" customHeight="false" outlineLevel="0" collapsed="false">
      <c r="A5" s="12" t="s">
        <v>9</v>
      </c>
      <c r="B5" s="12" t="s">
        <v>96</v>
      </c>
      <c r="C5" s="12" t="s">
        <v>95</v>
      </c>
      <c r="D5" s="12"/>
      <c r="E5" s="12" t="s">
        <v>217</v>
      </c>
      <c r="F5" s="12" t="s">
        <v>310</v>
      </c>
    </row>
    <row r="6" customFormat="false" ht="15" hidden="false" customHeight="false" outlineLevel="0" collapsed="false">
      <c r="A6" s="12" t="s">
        <v>9</v>
      </c>
      <c r="B6" s="12" t="s">
        <v>100</v>
      </c>
      <c r="C6" s="12" t="s">
        <v>99</v>
      </c>
      <c r="D6" s="12"/>
      <c r="E6" s="12" t="s">
        <v>220</v>
      </c>
      <c r="F6" s="12" t="s">
        <v>310</v>
      </c>
    </row>
    <row r="7" customFormat="false" ht="15" hidden="false" customHeight="false" outlineLevel="0" collapsed="false">
      <c r="A7" s="12" t="s">
        <v>9</v>
      </c>
      <c r="B7" s="12" t="s">
        <v>105</v>
      </c>
      <c r="C7" s="12" t="s">
        <v>104</v>
      </c>
      <c r="D7" s="12"/>
      <c r="E7" s="12" t="s">
        <v>223</v>
      </c>
      <c r="F7" s="12" t="s">
        <v>310</v>
      </c>
    </row>
    <row r="8" customFormat="false" ht="15" hidden="false" customHeight="false" outlineLevel="0" collapsed="false">
      <c r="A8" s="12" t="s">
        <v>9</v>
      </c>
      <c r="B8" s="12" t="s">
        <v>36</v>
      </c>
      <c r="C8" s="12" t="s">
        <v>35</v>
      </c>
      <c r="D8" s="12"/>
      <c r="E8" s="12" t="s">
        <v>225</v>
      </c>
      <c r="F8" s="12" t="s">
        <v>310</v>
      </c>
    </row>
    <row r="9" customFormat="false" ht="15" hidden="false" customHeight="false" outlineLevel="0" collapsed="false">
      <c r="A9" s="12" t="s">
        <v>9</v>
      </c>
      <c r="B9" s="12" t="s">
        <v>115</v>
      </c>
      <c r="C9" s="12" t="s">
        <v>114</v>
      </c>
      <c r="D9" s="12"/>
      <c r="E9" s="12" t="s">
        <v>227</v>
      </c>
      <c r="F9" s="12" t="s">
        <v>310</v>
      </c>
    </row>
    <row r="10" customFormat="false" ht="15" hidden="false" customHeight="false" outlineLevel="0" collapsed="false">
      <c r="A10" s="12" t="s">
        <v>9</v>
      </c>
      <c r="B10" s="12" t="s">
        <v>120</v>
      </c>
      <c r="C10" s="12" t="s">
        <v>119</v>
      </c>
      <c r="D10" s="12"/>
      <c r="E10" s="12" t="s">
        <v>229</v>
      </c>
      <c r="F10" s="12" t="s">
        <v>310</v>
      </c>
    </row>
    <row r="11" customFormat="false" ht="15" hidden="false" customHeight="false" outlineLevel="0" collapsed="false">
      <c r="A11" s="12" t="s">
        <v>9</v>
      </c>
      <c r="B11" s="12" t="s">
        <v>32</v>
      </c>
      <c r="C11" s="12" t="s">
        <v>31</v>
      </c>
      <c r="D11" s="12"/>
      <c r="E11" s="12" t="s">
        <v>231</v>
      </c>
      <c r="F11" s="12" t="s">
        <v>310</v>
      </c>
    </row>
    <row r="12" customFormat="false" ht="15" hidden="false" customHeight="false" outlineLevel="0" collapsed="false">
      <c r="A12" s="12" t="s">
        <v>9</v>
      </c>
      <c r="B12" s="12" t="s">
        <v>126</v>
      </c>
      <c r="C12" s="12" t="s">
        <v>125</v>
      </c>
      <c r="D12" s="12"/>
      <c r="E12" s="12" t="s">
        <v>234</v>
      </c>
      <c r="F12" s="12" t="s">
        <v>310</v>
      </c>
    </row>
    <row r="13" customFormat="false" ht="15" hidden="false" customHeight="false" outlineLevel="0" collapsed="false">
      <c r="A13" s="12" t="s">
        <v>9</v>
      </c>
      <c r="B13" s="12" t="s">
        <v>130</v>
      </c>
      <c r="C13" s="12" t="s">
        <v>129</v>
      </c>
      <c r="D13" s="12"/>
      <c r="E13" s="12" t="s">
        <v>237</v>
      </c>
      <c r="F13" s="12" t="s">
        <v>310</v>
      </c>
    </row>
    <row r="14" customFormat="false" ht="15" hidden="false" customHeight="false" outlineLevel="0" collapsed="false">
      <c r="A14" s="12" t="s">
        <v>9</v>
      </c>
      <c r="B14" s="12" t="s">
        <v>133</v>
      </c>
      <c r="C14" s="12" t="s">
        <v>132</v>
      </c>
      <c r="D14" s="12"/>
      <c r="E14" s="12" t="s">
        <v>240</v>
      </c>
      <c r="F14" s="12" t="s">
        <v>310</v>
      </c>
    </row>
    <row r="15" customFormat="false" ht="15" hidden="false" customHeight="false" outlineLevel="0" collapsed="false">
      <c r="A15" s="12" t="s">
        <v>9</v>
      </c>
      <c r="B15" s="12" t="s">
        <v>137</v>
      </c>
      <c r="C15" s="12" t="s">
        <v>136</v>
      </c>
      <c r="D15" s="12"/>
      <c r="E15" s="12" t="s">
        <v>242</v>
      </c>
      <c r="F15" s="12" t="s">
        <v>310</v>
      </c>
    </row>
    <row r="16" customFormat="false" ht="15" hidden="false" customHeight="false" outlineLevel="0" collapsed="false">
      <c r="A16" s="12" t="s">
        <v>9</v>
      </c>
      <c r="B16" s="12" t="s">
        <v>142</v>
      </c>
      <c r="C16" s="12" t="s">
        <v>141</v>
      </c>
      <c r="D16" s="12"/>
      <c r="E16" s="12" t="s">
        <v>244</v>
      </c>
      <c r="F16" s="12" t="s">
        <v>310</v>
      </c>
    </row>
    <row r="17" customFormat="false" ht="15" hidden="false" customHeight="false" outlineLevel="0" collapsed="false">
      <c r="A17" s="12" t="s">
        <v>9</v>
      </c>
      <c r="B17" s="12" t="s">
        <v>39</v>
      </c>
      <c r="C17" s="12" t="s">
        <v>38</v>
      </c>
      <c r="D17" s="12"/>
      <c r="E17" s="12" t="s">
        <v>246</v>
      </c>
      <c r="F17" s="12" t="s">
        <v>310</v>
      </c>
    </row>
    <row r="18" customFormat="false" ht="15" hidden="false" customHeight="false" outlineLevel="0" collapsed="false">
      <c r="A18" s="12" t="s">
        <v>9</v>
      </c>
      <c r="B18" s="12" t="s">
        <v>148</v>
      </c>
      <c r="C18" s="12" t="s">
        <v>147</v>
      </c>
      <c r="D18" s="12"/>
      <c r="E18" s="12" t="s">
        <v>249</v>
      </c>
      <c r="F18" s="12" t="s">
        <v>310</v>
      </c>
    </row>
    <row r="19" customFormat="false" ht="15" hidden="false" customHeight="false" outlineLevel="0" collapsed="false">
      <c r="A19" s="12" t="s">
        <v>9</v>
      </c>
      <c r="B19" s="12" t="s">
        <v>156</v>
      </c>
      <c r="C19" s="12" t="s">
        <v>155</v>
      </c>
      <c r="D19" s="12"/>
      <c r="E19" s="12" t="s">
        <v>253</v>
      </c>
      <c r="F19" s="12" t="s">
        <v>310</v>
      </c>
    </row>
    <row r="20" customFormat="false" ht="15" hidden="false" customHeight="false" outlineLevel="0" collapsed="false">
      <c r="A20" s="12" t="s">
        <v>9</v>
      </c>
      <c r="B20" s="12" t="s">
        <v>160</v>
      </c>
      <c r="C20" s="12" t="s">
        <v>159</v>
      </c>
      <c r="D20" s="12"/>
      <c r="E20" s="12" t="s">
        <v>255</v>
      </c>
      <c r="F20" s="12" t="s">
        <v>310</v>
      </c>
    </row>
    <row r="21" customFormat="false" ht="15" hidden="false" customHeight="false" outlineLevel="0" collapsed="false">
      <c r="A21" s="12" t="s">
        <v>9</v>
      </c>
      <c r="B21" s="12" t="s">
        <v>166</v>
      </c>
      <c r="C21" s="12" t="s">
        <v>165</v>
      </c>
      <c r="D21" s="12"/>
      <c r="E21" s="12" t="s">
        <v>311</v>
      </c>
      <c r="F21" s="12" t="s">
        <v>310</v>
      </c>
    </row>
    <row r="22" customFormat="false" ht="15" hidden="false" customHeight="false" outlineLevel="0" collapsed="false">
      <c r="A22" s="12" t="s">
        <v>9</v>
      </c>
      <c r="B22" s="12" t="s">
        <v>172</v>
      </c>
      <c r="C22" s="12" t="s">
        <v>171</v>
      </c>
      <c r="D22" s="12"/>
      <c r="E22" s="12" t="s">
        <v>259</v>
      </c>
      <c r="F22" s="12" t="s">
        <v>310</v>
      </c>
    </row>
    <row r="23" customFormat="false" ht="15" hidden="false" customHeight="false" outlineLevel="0" collapsed="false">
      <c r="A23" s="12" t="s">
        <v>9</v>
      </c>
      <c r="B23" s="12" t="s">
        <v>178</v>
      </c>
      <c r="C23" s="12" t="s">
        <v>177</v>
      </c>
      <c r="D23" s="12"/>
      <c r="E23" s="12" t="s">
        <v>262</v>
      </c>
      <c r="F23" s="12" t="s">
        <v>310</v>
      </c>
    </row>
    <row r="24" customFormat="false" ht="15" hidden="false" customHeight="false" outlineLevel="0" collapsed="false">
      <c r="A24" s="12" t="s">
        <v>9</v>
      </c>
      <c r="B24" s="12" t="s">
        <v>43</v>
      </c>
      <c r="C24" s="12" t="s">
        <v>42</v>
      </c>
      <c r="D24" s="12"/>
      <c r="E24" s="12" t="s">
        <v>265</v>
      </c>
      <c r="F24" s="12" t="s">
        <v>310</v>
      </c>
    </row>
    <row r="25" customFormat="false" ht="15" hidden="false" customHeight="false" outlineLevel="0" collapsed="false">
      <c r="A25" s="12" t="s">
        <v>9</v>
      </c>
      <c r="B25" s="12" t="s">
        <v>46</v>
      </c>
      <c r="C25" s="12" t="s">
        <v>45</v>
      </c>
      <c r="D25" s="12"/>
      <c r="E25" s="12" t="s">
        <v>269</v>
      </c>
      <c r="F25" s="12" t="s">
        <v>310</v>
      </c>
    </row>
    <row r="26" customFormat="false" ht="15" hidden="false" customHeight="false" outlineLevel="0" collapsed="false">
      <c r="A26" s="12" t="s">
        <v>9</v>
      </c>
      <c r="B26" s="12" t="s">
        <v>185</v>
      </c>
      <c r="C26" s="12" t="s">
        <v>184</v>
      </c>
      <c r="D26" s="12"/>
      <c r="E26" s="12" t="s">
        <v>272</v>
      </c>
      <c r="F26" s="12" t="s">
        <v>310</v>
      </c>
    </row>
    <row r="27" customFormat="false" ht="15" hidden="false" customHeight="false" outlineLevel="0" collapsed="false">
      <c r="A27" s="12" t="s">
        <v>9</v>
      </c>
      <c r="B27" s="12" t="s">
        <v>189</v>
      </c>
      <c r="C27" s="12" t="s">
        <v>188</v>
      </c>
      <c r="D27" s="12"/>
      <c r="E27" s="12" t="s">
        <v>274</v>
      </c>
      <c r="F27" s="12" t="s">
        <v>310</v>
      </c>
    </row>
    <row r="28" customFormat="false" ht="15" hidden="false" customHeight="false" outlineLevel="0" collapsed="false">
      <c r="A28" s="12" t="s">
        <v>9</v>
      </c>
      <c r="B28" s="12" t="s">
        <v>194</v>
      </c>
      <c r="C28" s="12" t="s">
        <v>193</v>
      </c>
      <c r="D28" s="12"/>
      <c r="E28" s="12" t="s">
        <v>278</v>
      </c>
      <c r="F28" s="12" t="s">
        <v>310</v>
      </c>
    </row>
    <row r="29" customFormat="false" ht="15" hidden="false" customHeight="false" outlineLevel="0" collapsed="false">
      <c r="A29" s="12" t="s">
        <v>312</v>
      </c>
      <c r="B29" s="12" t="s">
        <v>81</v>
      </c>
      <c r="C29" s="12" t="s">
        <v>313</v>
      </c>
      <c r="D29" s="12" t="s">
        <v>81</v>
      </c>
      <c r="E29" s="12" t="s">
        <v>314</v>
      </c>
      <c r="F29" s="12" t="s">
        <v>315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2026-06-13T09:35:53Z</dcterms:modified>
  <cp:revision>2</cp:revision>
  <dc:subject/>
  <dc:title/>
</cp:coreProperties>
</file>