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ечёткие_правила" sheetId="1" state="visible" r:id="rId3"/>
    <sheet name="Реальные_данные" sheetId="2" state="visible" r:id="rId4"/>
    <sheet name="Сводка" sheetId="3" state="visible" r:id="rId5"/>
    <sheet name="Матрица_правил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<sst xmlns="http://schemas.openxmlformats.org/spreadsheetml/2006/main" count="286" uniqueCount="41">
  <si>
    <t xml:space="preserve">D_код</t>
  </si>
  <si>
    <t xml:space="preserve">D_уровень</t>
  </si>
  <si>
    <t xml:space="preserve">E_код</t>
  </si>
  <si>
    <t xml:space="preserve">E_уровень</t>
  </si>
  <si>
    <t xml:space="preserve">F_код</t>
  </si>
  <si>
    <t xml:space="preserve">F_уровень</t>
  </si>
  <si>
    <t xml:space="preserve">N_выход</t>
  </si>
  <si>
    <t xml:space="preserve">N_числовое</t>
  </si>
  <si>
    <t xml:space="preserve">Вес_правила</t>
  </si>
  <si>
    <t xml:space="preserve">Количество_примеров</t>
  </si>
  <si>
    <t xml:space="preserve">Средняя_оценка_N</t>
  </si>
  <si>
    <t xml:space="preserve">ВыходнаяОценкаУсеченная</t>
  </si>
  <si>
    <t xml:space="preserve">ВыходнаяОценкаСИменем</t>
  </si>
  <si>
    <t xml:space="preserve">Низкий</t>
  </si>
  <si>
    <t xml:space="preserve">Бесплатная</t>
  </si>
  <si>
    <t xml:space="preserve">Через_ТЦ</t>
  </si>
  <si>
    <t xml:space="preserve">Высокая</t>
  </si>
  <si>
    <t xml:space="preserve">С_улицы</t>
  </si>
  <si>
    <t xml:space="preserve">Очень_высокая</t>
  </si>
  <si>
    <t xml:space="preserve">Через_арку</t>
  </si>
  <si>
    <t xml:space="preserve">Через_здание</t>
  </si>
  <si>
    <t xml:space="preserve">Платная</t>
  </si>
  <si>
    <t xml:space="preserve">Отсутствует</t>
  </si>
  <si>
    <t xml:space="preserve">Средняя</t>
  </si>
  <si>
    <t xml:space="preserve">Средний</t>
  </si>
  <si>
    <t xml:space="preserve">Низкая</t>
  </si>
  <si>
    <t xml:space="preserve">Высокий</t>
  </si>
  <si>
    <t xml:space="preserve">Очень_низкая</t>
  </si>
  <si>
    <t xml:space="preserve">Характеристика</t>
  </si>
  <si>
    <t xml:space="preserve">Значение</t>
  </si>
  <si>
    <t xml:space="preserve">Всего правил</t>
  </si>
  <si>
    <t xml:space="preserve">Правила из реальных данных</t>
  </si>
  <si>
    <t xml:space="preserve">Экспертные правила</t>
  </si>
  <si>
    <t xml:space="preserve">Уровни D (конкуренты)</t>
  </si>
  <si>
    <t xml:space="preserve">Низкий, Средний, Высокий</t>
  </si>
  <si>
    <t xml:space="preserve">Уровни E (парковка)</t>
  </si>
  <si>
    <t xml:space="preserve">Бесплатная, Платная, Отсутствует</t>
  </si>
  <si>
    <t xml:space="preserve">Уровни F (вход)</t>
  </si>
  <si>
    <t xml:space="preserve">Через_ТЦ, С_улицы, Через_арку, Через_здание</t>
  </si>
  <si>
    <t xml:space="preserve">Уровни N (выход)</t>
  </si>
  <si>
    <t xml:space="preserve">Очень_низкая, Низкая, Средняя, Высокая, Очень_высокая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</si>
</sst>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7" activeCellId="0" sqref="O37"/>
    </sheetView>
  </sheetViews>
  <sheetFormatPr defaultColWidth="8.6796875" defaultRowHeight="15" zeroHeight="false" outlineLevelRow="0" outlineLevelCol="0"/>
  <cols>
    <col collapsed="false" customWidth="true" hidden="false" outlineLevel="0" max="7" min="7" style="0" width="14.87"/>
    <col collapsed="false" customWidth="true" hidden="false" outlineLevel="0" max="8" min="8" style="0" width="17.8"/>
    <col collapsed="false" customWidth="true" hidden="false" outlineLevel="0" max="9" min="9" style="0" width="14.74"/>
    <col collapsed="false" customWidth="true" hidden="false" outlineLevel="0" max="10" min="10" style="0" width="25.58"/>
    <col collapsed="false" customWidth="true" hidden="false" outlineLevel="0" max="11" min="11" style="0" width="19.6"/>
    <col collapsed="false" customWidth="true" hidden="false" outlineLevel="0" max="12" min="12" style="0" width="27.81"/>
    <col collapsed="false" customWidth="true" hidden="false" outlineLevel="0" max="13" min="13" style="0" width="33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customFormat="false" ht="13.8" hidden="false" customHeight="false" outlineLevel="0" collapsed="false">
      <c r="A2" s="0" t="n">
        <v>0</v>
      </c>
      <c r="B2" s="0" t="s">
        <v>13</v>
      </c>
      <c r="C2" s="0" t="n">
        <v>0</v>
      </c>
      <c r="D2" s="0" t="s">
        <v>14</v>
      </c>
      <c r="E2" s="0" t="n">
        <v>0</v>
      </c>
      <c r="F2" s="0" t="s">
        <v>15</v>
      </c>
      <c r="G2" s="0" t="s">
        <v>16</v>
      </c>
      <c r="H2" s="0" t="n">
        <v>4</v>
      </c>
      <c r="I2" s="0" t="n">
        <v>0.5</v>
      </c>
      <c r="J2" s="0" t="n">
        <v>0</v>
      </c>
      <c r="L2" s="0" t="n">
        <f aca="false">IF(H2&lt;2,0,IF(H2&lt;4,1,2))</f>
        <v>2</v>
      </c>
      <c r="M2" s="0" t="str">
        <f aca="false">IF(L2=0,"низкая",IF(L2=1,"средняя","высокая"))</f>
        <v>высокая</v>
      </c>
    </row>
    <row r="3" customFormat="false" ht="13.8" hidden="false" customHeight="false" outlineLevel="0" collapsed="false">
      <c r="A3" s="0" t="n">
        <v>0</v>
      </c>
      <c r="B3" s="0" t="s">
        <v>13</v>
      </c>
      <c r="C3" s="0" t="n">
        <v>0</v>
      </c>
      <c r="D3" s="0" t="s">
        <v>14</v>
      </c>
      <c r="E3" s="0" t="n">
        <v>1</v>
      </c>
      <c r="F3" s="0" t="s">
        <v>17</v>
      </c>
      <c r="G3" s="0" t="s">
        <v>18</v>
      </c>
      <c r="H3" s="0" t="n">
        <v>5</v>
      </c>
      <c r="I3" s="0" t="n">
        <v>0.5</v>
      </c>
      <c r="J3" s="0" t="n">
        <v>0</v>
      </c>
      <c r="L3" s="0" t="n">
        <f aca="false">IF(H3&lt;2,0,IF(H3&lt;4,1,2))</f>
        <v>2</v>
      </c>
      <c r="M3" s="0" t="str">
        <f aca="false">IF(L3=0,"низкая",IF(L3=1,"средняя","высокая"))</f>
        <v>высокая</v>
      </c>
    </row>
    <row r="4" customFormat="false" ht="13.8" hidden="false" customHeight="false" outlineLevel="0" collapsed="false">
      <c r="A4" s="0" t="n">
        <v>0</v>
      </c>
      <c r="B4" s="0" t="s">
        <v>13</v>
      </c>
      <c r="C4" s="0" t="n">
        <v>0</v>
      </c>
      <c r="D4" s="0" t="s">
        <v>14</v>
      </c>
      <c r="E4" s="0" t="n">
        <v>2</v>
      </c>
      <c r="F4" s="0" t="s">
        <v>19</v>
      </c>
      <c r="G4" s="0" t="s">
        <v>16</v>
      </c>
      <c r="H4" s="0" t="n">
        <v>4</v>
      </c>
      <c r="I4" s="0" t="n">
        <v>0.5</v>
      </c>
      <c r="L4" s="0" t="n">
        <f aca="false">IF(H4&lt;2,0,IF(H4&lt;4,1,2))</f>
        <v>2</v>
      </c>
      <c r="M4" s="0" t="str">
        <f aca="false">IF(L4=0,"низкая",IF(L4=1,"средняя","высокая"))</f>
        <v>высокая</v>
      </c>
    </row>
    <row r="5" customFormat="false" ht="13.8" hidden="false" customHeight="false" outlineLevel="0" collapsed="false">
      <c r="A5" s="0" t="n">
        <v>0</v>
      </c>
      <c r="B5" s="0" t="s">
        <v>13</v>
      </c>
      <c r="C5" s="0" t="n">
        <v>0</v>
      </c>
      <c r="D5" s="0" t="s">
        <v>14</v>
      </c>
      <c r="E5" s="0" t="n">
        <v>3</v>
      </c>
      <c r="F5" s="0" t="s">
        <v>20</v>
      </c>
      <c r="G5" s="0" t="s">
        <v>16</v>
      </c>
      <c r="H5" s="0" t="n">
        <v>4</v>
      </c>
      <c r="I5" s="0" t="n">
        <v>0.5</v>
      </c>
      <c r="L5" s="0" t="n">
        <f aca="false">IF(H5&lt;2,0,IF(H5&lt;4,1,2))</f>
        <v>2</v>
      </c>
      <c r="M5" s="0" t="str">
        <f aca="false">IF(L5=0,"низкая",IF(L5=1,"средняя","высокая"))</f>
        <v>высокая</v>
      </c>
    </row>
    <row r="6" customFormat="false" ht="13.8" hidden="false" customHeight="false" outlineLevel="0" collapsed="false">
      <c r="A6" s="0" t="n">
        <v>0</v>
      </c>
      <c r="B6" s="0" t="s">
        <v>13</v>
      </c>
      <c r="C6" s="0" t="n">
        <v>1</v>
      </c>
      <c r="D6" s="0" t="s">
        <v>21</v>
      </c>
      <c r="E6" s="0" t="n">
        <v>0</v>
      </c>
      <c r="F6" s="0" t="s">
        <v>15</v>
      </c>
      <c r="G6" s="0" t="s">
        <v>16</v>
      </c>
      <c r="H6" s="0" t="n">
        <v>4</v>
      </c>
      <c r="I6" s="0" t="n">
        <v>0.5</v>
      </c>
      <c r="L6" s="0" t="n">
        <f aca="false">IF(H6&lt;2,0,IF(H6&lt;4,1,2))</f>
        <v>2</v>
      </c>
      <c r="M6" s="0" t="str">
        <f aca="false">IF(L6=0,"низкая",IF(L6=1,"средняя","высокая"))</f>
        <v>высокая</v>
      </c>
    </row>
    <row r="7" customFormat="false" ht="13.8" hidden="false" customHeight="false" outlineLevel="0" collapsed="false">
      <c r="A7" s="0" t="n">
        <v>0</v>
      </c>
      <c r="B7" s="0" t="s">
        <v>13</v>
      </c>
      <c r="C7" s="0" t="n">
        <v>1</v>
      </c>
      <c r="D7" s="0" t="s">
        <v>21</v>
      </c>
      <c r="E7" s="0" t="n">
        <v>1</v>
      </c>
      <c r="F7" s="0" t="s">
        <v>17</v>
      </c>
      <c r="G7" s="0" t="s">
        <v>16</v>
      </c>
      <c r="H7" s="0" t="n">
        <v>4</v>
      </c>
      <c r="I7" s="0" t="n">
        <v>0.5</v>
      </c>
      <c r="J7" s="0" t="n">
        <v>0</v>
      </c>
      <c r="L7" s="0" t="n">
        <f aca="false">IF(H7&lt;2,0,IF(H7&lt;4,1,2))</f>
        <v>2</v>
      </c>
      <c r="M7" s="0" t="str">
        <f aca="false">IF(L7=0,"низкая",IF(L7=1,"средняя","высокая"))</f>
        <v>высокая</v>
      </c>
    </row>
    <row r="8" customFormat="false" ht="13.8" hidden="false" customHeight="false" outlineLevel="0" collapsed="false">
      <c r="A8" s="0" t="n">
        <v>0</v>
      </c>
      <c r="B8" s="0" t="s">
        <v>13</v>
      </c>
      <c r="C8" s="0" t="n">
        <v>1</v>
      </c>
      <c r="D8" s="0" t="s">
        <v>21</v>
      </c>
      <c r="E8" s="0" t="n">
        <v>2</v>
      </c>
      <c r="F8" s="0" t="s">
        <v>19</v>
      </c>
      <c r="G8" s="0" t="s">
        <v>16</v>
      </c>
      <c r="H8" s="0" t="n">
        <v>4</v>
      </c>
      <c r="I8" s="0" t="n">
        <v>0.5</v>
      </c>
      <c r="L8" s="0" t="n">
        <f aca="false">IF(H8&lt;2,0,IF(H8&lt;4,1,2))</f>
        <v>2</v>
      </c>
      <c r="M8" s="0" t="str">
        <f aca="false">IF(L8=0,"низкая",IF(L8=1,"средняя","высокая"))</f>
        <v>высокая</v>
      </c>
    </row>
    <row r="9" customFormat="false" ht="13.8" hidden="false" customHeight="false" outlineLevel="0" collapsed="false">
      <c r="A9" s="0" t="n">
        <v>0</v>
      </c>
      <c r="B9" s="0" t="s">
        <v>13</v>
      </c>
      <c r="C9" s="0" t="n">
        <v>1</v>
      </c>
      <c r="D9" s="0" t="s">
        <v>21</v>
      </c>
      <c r="E9" s="0" t="n">
        <v>3</v>
      </c>
      <c r="F9" s="0" t="s">
        <v>20</v>
      </c>
      <c r="G9" s="0" t="s">
        <v>16</v>
      </c>
      <c r="H9" s="0" t="n">
        <v>4</v>
      </c>
      <c r="I9" s="0" t="n">
        <v>0.5</v>
      </c>
      <c r="L9" s="0" t="n">
        <f aca="false">IF(H9&lt;2,0,IF(H9&lt;4,1,2))</f>
        <v>2</v>
      </c>
      <c r="M9" s="0" t="str">
        <f aca="false">IF(L9=0,"низкая",IF(L9=1,"средняя","высокая"))</f>
        <v>высокая</v>
      </c>
    </row>
    <row r="10" customFormat="false" ht="13.8" hidden="false" customHeight="false" outlineLevel="0" collapsed="false">
      <c r="A10" s="0" t="n">
        <v>0</v>
      </c>
      <c r="B10" s="0" t="s">
        <v>13</v>
      </c>
      <c r="C10" s="0" t="n">
        <v>2</v>
      </c>
      <c r="D10" s="0" t="s">
        <v>22</v>
      </c>
      <c r="E10" s="0" t="n">
        <v>0</v>
      </c>
      <c r="F10" s="0" t="s">
        <v>15</v>
      </c>
      <c r="G10" s="0" t="s">
        <v>23</v>
      </c>
      <c r="H10" s="0" t="n">
        <v>2</v>
      </c>
      <c r="I10" s="0" t="n">
        <v>0.5</v>
      </c>
      <c r="L10" s="0" t="n">
        <f aca="false">IF(H10&lt;2,0,IF(H10&lt;4,1,2))</f>
        <v>1</v>
      </c>
      <c r="M10" s="0" t="str">
        <f aca="false">IF(L10=0,"низкая",IF(L10=1,"средняя","высокая"))</f>
        <v>средняя</v>
      </c>
    </row>
    <row r="11" customFormat="false" ht="13.8" hidden="false" customHeight="false" outlineLevel="0" collapsed="false">
      <c r="A11" s="0" t="n">
        <v>0</v>
      </c>
      <c r="B11" s="0" t="s">
        <v>13</v>
      </c>
      <c r="C11" s="0" t="n">
        <v>2</v>
      </c>
      <c r="D11" s="0" t="s">
        <v>22</v>
      </c>
      <c r="E11" s="0" t="n">
        <v>1</v>
      </c>
      <c r="F11" s="0" t="s">
        <v>17</v>
      </c>
      <c r="G11" s="0" t="s">
        <v>23</v>
      </c>
      <c r="H11" s="0" t="n">
        <v>2</v>
      </c>
      <c r="I11" s="0" t="n">
        <v>0.5</v>
      </c>
      <c r="L11" s="0" t="n">
        <f aca="false">IF(H11&lt;2,0,IF(H11&lt;4,1,2))</f>
        <v>1</v>
      </c>
      <c r="M11" s="0" t="str">
        <f aca="false">IF(L11=0,"низкая",IF(L11=1,"средняя","высокая"))</f>
        <v>средняя</v>
      </c>
    </row>
    <row r="12" customFormat="false" ht="13.8" hidden="false" customHeight="false" outlineLevel="0" collapsed="false">
      <c r="A12" s="0" t="n">
        <v>0</v>
      </c>
      <c r="B12" s="0" t="s">
        <v>13</v>
      </c>
      <c r="C12" s="0" t="n">
        <v>2</v>
      </c>
      <c r="D12" s="0" t="s">
        <v>22</v>
      </c>
      <c r="E12" s="0" t="n">
        <v>2</v>
      </c>
      <c r="F12" s="0" t="s">
        <v>19</v>
      </c>
      <c r="G12" s="0" t="s">
        <v>23</v>
      </c>
      <c r="H12" s="0" t="n">
        <v>2</v>
      </c>
      <c r="I12" s="0" t="n">
        <v>0.5</v>
      </c>
      <c r="L12" s="0" t="n">
        <f aca="false">IF(H12&lt;2,0,IF(H12&lt;4,1,2))</f>
        <v>1</v>
      </c>
      <c r="M12" s="0" t="str">
        <f aca="false">IF(L12=0,"низкая",IF(L12=1,"средняя","высокая"))</f>
        <v>средняя</v>
      </c>
    </row>
    <row r="13" customFormat="false" ht="13.8" hidden="false" customHeight="false" outlineLevel="0" collapsed="false">
      <c r="A13" s="0" t="n">
        <v>0</v>
      </c>
      <c r="B13" s="0" t="s">
        <v>13</v>
      </c>
      <c r="C13" s="0" t="n">
        <v>2</v>
      </c>
      <c r="D13" s="0" t="s">
        <v>22</v>
      </c>
      <c r="E13" s="0" t="n">
        <v>3</v>
      </c>
      <c r="F13" s="0" t="s">
        <v>20</v>
      </c>
      <c r="G13" s="0" t="s">
        <v>18</v>
      </c>
      <c r="H13" s="0" t="n">
        <v>5</v>
      </c>
      <c r="I13" s="0" t="n">
        <v>1</v>
      </c>
      <c r="J13" s="0" t="n">
        <v>188</v>
      </c>
      <c r="K13" s="0" t="n">
        <v>4.6</v>
      </c>
      <c r="L13" s="0" t="n">
        <f aca="false">IF(H13&lt;2,0,IF(H13&lt;4,1,2))</f>
        <v>2</v>
      </c>
      <c r="M13" s="0" t="str">
        <f aca="false">IF(L13=0,"низкая",IF(L13=1,"средняя","высокая"))</f>
        <v>высокая</v>
      </c>
    </row>
    <row r="14" customFormat="false" ht="13.8" hidden="false" customHeight="false" outlineLevel="0" collapsed="false">
      <c r="A14" s="0" t="n">
        <v>1</v>
      </c>
      <c r="B14" s="0" t="s">
        <v>24</v>
      </c>
      <c r="C14" s="0" t="n">
        <v>0</v>
      </c>
      <c r="D14" s="0" t="s">
        <v>14</v>
      </c>
      <c r="E14" s="0" t="n">
        <v>0</v>
      </c>
      <c r="F14" s="0" t="s">
        <v>15</v>
      </c>
      <c r="G14" s="0" t="s">
        <v>16</v>
      </c>
      <c r="H14" s="0" t="n">
        <v>4</v>
      </c>
      <c r="I14" s="0" t="n">
        <v>0.5</v>
      </c>
      <c r="J14" s="0" t="n">
        <v>0</v>
      </c>
      <c r="L14" s="0" t="n">
        <f aca="false">IF(H14&lt;2,0,IF(H14&lt;4,1,2))</f>
        <v>2</v>
      </c>
      <c r="M14" s="0" t="str">
        <f aca="false">IF(L14=0,"низкая",IF(L14=1,"средняя","высокая"))</f>
        <v>высокая</v>
      </c>
    </row>
    <row r="15" customFormat="false" ht="13.8" hidden="false" customHeight="false" outlineLevel="0" collapsed="false">
      <c r="A15" s="0" t="n">
        <v>1</v>
      </c>
      <c r="B15" s="0" t="s">
        <v>24</v>
      </c>
      <c r="C15" s="0" t="n">
        <v>0</v>
      </c>
      <c r="D15" s="0" t="s">
        <v>14</v>
      </c>
      <c r="E15" s="0" t="n">
        <v>1</v>
      </c>
      <c r="F15" s="0" t="s">
        <v>17</v>
      </c>
      <c r="G15" s="0" t="s">
        <v>23</v>
      </c>
      <c r="H15" s="0" t="n">
        <v>2</v>
      </c>
      <c r="I15" s="0" t="n">
        <v>0.5</v>
      </c>
      <c r="J15" s="0" t="n">
        <v>0</v>
      </c>
      <c r="L15" s="0" t="n">
        <f aca="false">IF(H15&lt;2,0,IF(H15&lt;4,1,2))</f>
        <v>1</v>
      </c>
      <c r="M15" s="0" t="str">
        <f aca="false">IF(L15=0,"низкая",IF(L15=1,"средняя","высокая"))</f>
        <v>средняя</v>
      </c>
    </row>
    <row r="16" customFormat="false" ht="13.8" hidden="false" customHeight="false" outlineLevel="0" collapsed="false">
      <c r="A16" s="0" t="n">
        <v>1</v>
      </c>
      <c r="B16" s="0" t="s">
        <v>24</v>
      </c>
      <c r="C16" s="0" t="n">
        <v>0</v>
      </c>
      <c r="D16" s="0" t="s">
        <v>14</v>
      </c>
      <c r="E16" s="0" t="n">
        <v>2</v>
      </c>
      <c r="F16" s="0" t="s">
        <v>19</v>
      </c>
      <c r="G16" s="0" t="s">
        <v>16</v>
      </c>
      <c r="H16" s="0" t="n">
        <v>4</v>
      </c>
      <c r="I16" s="0" t="n">
        <v>0.5</v>
      </c>
      <c r="L16" s="0" t="n">
        <f aca="false">IF(H16&lt;2,0,IF(H16&lt;4,1,2))</f>
        <v>2</v>
      </c>
      <c r="M16" s="0" t="str">
        <f aca="false">IF(L16=0,"низкая",IF(L16=1,"средняя","высокая"))</f>
        <v>высокая</v>
      </c>
    </row>
    <row r="17" customFormat="false" ht="13.8" hidden="false" customHeight="false" outlineLevel="0" collapsed="false">
      <c r="A17" s="0" t="n">
        <v>1</v>
      </c>
      <c r="B17" s="0" t="s">
        <v>24</v>
      </c>
      <c r="C17" s="0" t="n">
        <v>0</v>
      </c>
      <c r="D17" s="0" t="s">
        <v>14</v>
      </c>
      <c r="E17" s="0" t="n">
        <v>3</v>
      </c>
      <c r="F17" s="0" t="s">
        <v>20</v>
      </c>
      <c r="G17" s="0" t="s">
        <v>16</v>
      </c>
      <c r="H17" s="0" t="n">
        <v>4</v>
      </c>
      <c r="I17" s="0" t="n">
        <v>0.5</v>
      </c>
      <c r="L17" s="0" t="n">
        <f aca="false">IF(H17&lt;2,0,IF(H17&lt;4,1,2))</f>
        <v>2</v>
      </c>
      <c r="M17" s="0" t="str">
        <f aca="false">IF(L17=0,"низкая",IF(L17=1,"средняя","высокая"))</f>
        <v>высокая</v>
      </c>
    </row>
    <row r="18" customFormat="false" ht="13.8" hidden="false" customHeight="false" outlineLevel="0" collapsed="false">
      <c r="A18" s="0" t="n">
        <v>1</v>
      </c>
      <c r="B18" s="0" t="s">
        <v>24</v>
      </c>
      <c r="C18" s="0" t="n">
        <v>1</v>
      </c>
      <c r="D18" s="0" t="s">
        <v>21</v>
      </c>
      <c r="E18" s="0" t="n">
        <v>0</v>
      </c>
      <c r="F18" s="0" t="s">
        <v>15</v>
      </c>
      <c r="G18" s="0" t="s">
        <v>23</v>
      </c>
      <c r="H18" s="0" t="n">
        <v>2</v>
      </c>
      <c r="I18" s="0" t="n">
        <v>0.5</v>
      </c>
      <c r="J18" s="0" t="n">
        <v>0</v>
      </c>
      <c r="L18" s="0" t="n">
        <f aca="false">IF(H18&lt;2,0,IF(H18&lt;4,1,2))</f>
        <v>1</v>
      </c>
      <c r="M18" s="0" t="str">
        <f aca="false">IF(L18=0,"низкая",IF(L18=1,"средняя","высокая"))</f>
        <v>средняя</v>
      </c>
    </row>
    <row r="19" customFormat="false" ht="13.8" hidden="false" customHeight="false" outlineLevel="0" collapsed="false">
      <c r="A19" s="0" t="n">
        <v>1</v>
      </c>
      <c r="B19" s="0" t="s">
        <v>24</v>
      </c>
      <c r="C19" s="0" t="n">
        <v>1</v>
      </c>
      <c r="D19" s="0" t="s">
        <v>21</v>
      </c>
      <c r="E19" s="0" t="n">
        <v>1</v>
      </c>
      <c r="F19" s="0" t="s">
        <v>17</v>
      </c>
      <c r="G19" s="0" t="s">
        <v>23</v>
      </c>
      <c r="H19" s="0" t="n">
        <v>2</v>
      </c>
      <c r="I19" s="0" t="n">
        <v>0.5</v>
      </c>
      <c r="L19" s="0" t="n">
        <f aca="false">IF(H19&lt;2,0,IF(H19&lt;4,1,2))</f>
        <v>1</v>
      </c>
      <c r="M19" s="0" t="str">
        <f aca="false">IF(L19=0,"низкая",IF(L19=1,"средняя","высокая"))</f>
        <v>средняя</v>
      </c>
    </row>
    <row r="20" customFormat="false" ht="13.8" hidden="false" customHeight="false" outlineLevel="0" collapsed="false">
      <c r="A20" s="0" t="n">
        <v>1</v>
      </c>
      <c r="B20" s="0" t="s">
        <v>24</v>
      </c>
      <c r="C20" s="0" t="n">
        <v>1</v>
      </c>
      <c r="D20" s="0" t="s">
        <v>21</v>
      </c>
      <c r="E20" s="0" t="n">
        <v>2</v>
      </c>
      <c r="F20" s="0" t="s">
        <v>19</v>
      </c>
      <c r="G20" s="0" t="s">
        <v>23</v>
      </c>
      <c r="H20" s="0" t="n">
        <v>2</v>
      </c>
      <c r="I20" s="0" t="n">
        <v>0.5</v>
      </c>
      <c r="L20" s="0" t="n">
        <f aca="false">IF(H20&lt;2,0,IF(H20&lt;4,1,2))</f>
        <v>1</v>
      </c>
      <c r="M20" s="0" t="str">
        <f aca="false">IF(L20=0,"низкая",IF(L20=1,"средняя","высокая"))</f>
        <v>средняя</v>
      </c>
    </row>
    <row r="21" customFormat="false" ht="13.8" hidden="false" customHeight="false" outlineLevel="0" collapsed="false">
      <c r="A21" s="0" t="n">
        <v>1</v>
      </c>
      <c r="B21" s="0" t="s">
        <v>24</v>
      </c>
      <c r="C21" s="0" t="n">
        <v>1</v>
      </c>
      <c r="D21" s="0" t="s">
        <v>21</v>
      </c>
      <c r="E21" s="0" t="n">
        <v>3</v>
      </c>
      <c r="F21" s="0" t="s">
        <v>20</v>
      </c>
      <c r="G21" s="0" t="s">
        <v>23</v>
      </c>
      <c r="H21" s="0" t="n">
        <v>2</v>
      </c>
      <c r="I21" s="0" t="n">
        <v>0.5</v>
      </c>
      <c r="L21" s="0" t="n">
        <f aca="false">IF(H21&lt;2,0,IF(H21&lt;4,1,2))</f>
        <v>1</v>
      </c>
      <c r="M21" s="0" t="str">
        <f aca="false">IF(L21=0,"низкая",IF(L21=1,"средняя","высокая"))</f>
        <v>средняя</v>
      </c>
    </row>
    <row r="22" customFormat="false" ht="13.8" hidden="false" customHeight="false" outlineLevel="0" collapsed="false">
      <c r="A22" s="0" t="n">
        <v>1</v>
      </c>
      <c r="B22" s="0" t="s">
        <v>24</v>
      </c>
      <c r="C22" s="0" t="n">
        <v>2</v>
      </c>
      <c r="D22" s="0" t="s">
        <v>22</v>
      </c>
      <c r="E22" s="0" t="n">
        <v>0</v>
      </c>
      <c r="F22" s="0" t="s">
        <v>15</v>
      </c>
      <c r="G22" s="0" t="s">
        <v>25</v>
      </c>
      <c r="H22" s="0" t="n">
        <v>1</v>
      </c>
      <c r="I22" s="0" t="n">
        <v>0.5</v>
      </c>
      <c r="J22" s="0" t="n">
        <v>0</v>
      </c>
      <c r="L22" s="0" t="n">
        <f aca="false">IF(H22&lt;2,0,IF(H22&lt;4,1,2))</f>
        <v>0</v>
      </c>
      <c r="M22" s="0" t="str">
        <f aca="false">IF(L22=0,"низкая",IF(L22=1,"средняя","высокая"))</f>
        <v>низкая</v>
      </c>
    </row>
    <row r="23" customFormat="false" ht="13.8" hidden="false" customHeight="false" outlineLevel="0" collapsed="false">
      <c r="A23" s="0" t="n">
        <v>1</v>
      </c>
      <c r="B23" s="0" t="s">
        <v>24</v>
      </c>
      <c r="C23" s="0" t="n">
        <v>2</v>
      </c>
      <c r="D23" s="0" t="s">
        <v>22</v>
      </c>
      <c r="E23" s="0" t="n">
        <v>1</v>
      </c>
      <c r="F23" s="0" t="s">
        <v>17</v>
      </c>
      <c r="G23" s="0" t="s">
        <v>25</v>
      </c>
      <c r="H23" s="0" t="n">
        <v>1</v>
      </c>
      <c r="I23" s="0" t="n">
        <v>0.5</v>
      </c>
      <c r="L23" s="0" t="n">
        <f aca="false">IF(H23&lt;2,0,IF(H23&lt;4,1,2))</f>
        <v>0</v>
      </c>
      <c r="M23" s="0" t="str">
        <f aca="false">IF(L23=0,"низкая",IF(L23=1,"средняя","высокая"))</f>
        <v>низкая</v>
      </c>
    </row>
    <row r="24" customFormat="false" ht="13.8" hidden="false" customHeight="false" outlineLevel="0" collapsed="false">
      <c r="A24" s="0" t="n">
        <v>1</v>
      </c>
      <c r="B24" s="0" t="s">
        <v>24</v>
      </c>
      <c r="C24" s="0" t="n">
        <v>2</v>
      </c>
      <c r="D24" s="0" t="s">
        <v>22</v>
      </c>
      <c r="E24" s="0" t="n">
        <v>2</v>
      </c>
      <c r="F24" s="0" t="s">
        <v>19</v>
      </c>
      <c r="G24" s="0" t="s">
        <v>25</v>
      </c>
      <c r="H24" s="0" t="n">
        <v>1</v>
      </c>
      <c r="I24" s="0" t="n">
        <v>0.5</v>
      </c>
      <c r="L24" s="0" t="n">
        <f aca="false">IF(H24&lt;2,0,IF(H24&lt;4,1,2))</f>
        <v>0</v>
      </c>
      <c r="M24" s="0" t="str">
        <f aca="false">IF(L24=0,"низкая",IF(L24=1,"средняя","высокая"))</f>
        <v>низкая</v>
      </c>
    </row>
    <row r="25" customFormat="false" ht="13.8" hidden="false" customHeight="false" outlineLevel="0" collapsed="false">
      <c r="A25" s="0" t="n">
        <v>1</v>
      </c>
      <c r="B25" s="0" t="s">
        <v>24</v>
      </c>
      <c r="C25" s="0" t="n">
        <v>2</v>
      </c>
      <c r="D25" s="0" t="s">
        <v>22</v>
      </c>
      <c r="E25" s="0" t="n">
        <v>3</v>
      </c>
      <c r="F25" s="0" t="s">
        <v>20</v>
      </c>
      <c r="G25" s="0" t="s">
        <v>18</v>
      </c>
      <c r="H25" s="0" t="n">
        <v>5</v>
      </c>
      <c r="I25" s="0" t="n">
        <v>0.65</v>
      </c>
      <c r="J25" s="0" t="n">
        <v>13</v>
      </c>
      <c r="K25" s="0" t="n">
        <v>4.69</v>
      </c>
      <c r="L25" s="0" t="n">
        <f aca="false">IF(H25&lt;2,0,IF(H25&lt;4,1,2))</f>
        <v>2</v>
      </c>
      <c r="M25" s="0" t="str">
        <f aca="false">IF(L25=0,"низкая",IF(L25=1,"средняя","высокая"))</f>
        <v>высокая</v>
      </c>
    </row>
    <row r="26" customFormat="false" ht="13.8" hidden="false" customHeight="false" outlineLevel="0" collapsed="false">
      <c r="A26" s="0" t="n">
        <v>2</v>
      </c>
      <c r="B26" s="0" t="s">
        <v>26</v>
      </c>
      <c r="C26" s="0" t="n">
        <v>0</v>
      </c>
      <c r="D26" s="0" t="s">
        <v>14</v>
      </c>
      <c r="E26" s="0" t="n">
        <v>0</v>
      </c>
      <c r="F26" s="0" t="s">
        <v>15</v>
      </c>
      <c r="G26" s="0" t="s">
        <v>23</v>
      </c>
      <c r="H26" s="0" t="n">
        <v>2</v>
      </c>
      <c r="I26" s="0" t="n">
        <v>0.5</v>
      </c>
      <c r="L26" s="0" t="n">
        <f aca="false">IF(H26&lt;2,0,IF(H26&lt;4,1,2))</f>
        <v>1</v>
      </c>
      <c r="M26" s="0" t="str">
        <f aca="false">IF(L26=0,"низкая",IF(L26=1,"средняя","высокая"))</f>
        <v>средняя</v>
      </c>
    </row>
    <row r="27" customFormat="false" ht="13.8" hidden="false" customHeight="false" outlineLevel="0" collapsed="false">
      <c r="A27" s="0" t="n">
        <v>2</v>
      </c>
      <c r="B27" s="0" t="s">
        <v>26</v>
      </c>
      <c r="C27" s="0" t="n">
        <v>0</v>
      </c>
      <c r="D27" s="0" t="s">
        <v>14</v>
      </c>
      <c r="E27" s="0" t="n">
        <v>1</v>
      </c>
      <c r="F27" s="0" t="s">
        <v>17</v>
      </c>
      <c r="G27" s="0" t="s">
        <v>23</v>
      </c>
      <c r="H27" s="0" t="n">
        <v>2</v>
      </c>
      <c r="I27" s="0" t="n">
        <v>0.5</v>
      </c>
      <c r="L27" s="0" t="n">
        <f aca="false">IF(H27&lt;2,0,IF(H27&lt;4,1,2))</f>
        <v>1</v>
      </c>
      <c r="M27" s="0" t="str">
        <f aca="false">IF(L27=0,"низкая",IF(L27=1,"средняя","высокая"))</f>
        <v>средняя</v>
      </c>
    </row>
    <row r="28" customFormat="false" ht="13.8" hidden="false" customHeight="false" outlineLevel="0" collapsed="false">
      <c r="A28" s="0" t="n">
        <v>2</v>
      </c>
      <c r="B28" s="0" t="s">
        <v>26</v>
      </c>
      <c r="C28" s="0" t="n">
        <v>0</v>
      </c>
      <c r="D28" s="0" t="s">
        <v>14</v>
      </c>
      <c r="E28" s="0" t="n">
        <v>2</v>
      </c>
      <c r="F28" s="0" t="s">
        <v>19</v>
      </c>
      <c r="G28" s="0" t="s">
        <v>23</v>
      </c>
      <c r="H28" s="0" t="n">
        <v>2</v>
      </c>
      <c r="I28" s="0" t="n">
        <v>0.5</v>
      </c>
      <c r="L28" s="0" t="n">
        <f aca="false">IF(H28&lt;2,0,IF(H28&lt;4,1,2))</f>
        <v>1</v>
      </c>
      <c r="M28" s="0" t="str">
        <f aca="false">IF(L28=0,"низкая",IF(L28=1,"средняя","высокая"))</f>
        <v>средняя</v>
      </c>
    </row>
    <row r="29" customFormat="false" ht="13.8" hidden="false" customHeight="false" outlineLevel="0" collapsed="false">
      <c r="A29" s="0" t="n">
        <v>2</v>
      </c>
      <c r="B29" s="0" t="s">
        <v>26</v>
      </c>
      <c r="C29" s="0" t="n">
        <v>0</v>
      </c>
      <c r="D29" s="0" t="s">
        <v>14</v>
      </c>
      <c r="E29" s="0" t="n">
        <v>3</v>
      </c>
      <c r="F29" s="0" t="s">
        <v>20</v>
      </c>
      <c r="G29" s="0" t="s">
        <v>23</v>
      </c>
      <c r="H29" s="0" t="n">
        <v>2</v>
      </c>
      <c r="I29" s="0" t="n">
        <v>0.5</v>
      </c>
      <c r="L29" s="0" t="n">
        <f aca="false">IF(H29&lt;2,0,IF(H29&lt;4,1,2))</f>
        <v>1</v>
      </c>
      <c r="M29" s="0" t="str">
        <f aca="false">IF(L29=0,"низкая",IF(L29=1,"средняя","высокая"))</f>
        <v>средняя</v>
      </c>
    </row>
    <row r="30" customFormat="false" ht="13.8" hidden="false" customHeight="false" outlineLevel="0" collapsed="false">
      <c r="A30" s="0" t="n">
        <v>2</v>
      </c>
      <c r="B30" s="0" t="s">
        <v>26</v>
      </c>
      <c r="C30" s="0" t="n">
        <v>1</v>
      </c>
      <c r="D30" s="0" t="s">
        <v>21</v>
      </c>
      <c r="E30" s="0" t="n">
        <v>0</v>
      </c>
      <c r="F30" s="0" t="s">
        <v>15</v>
      </c>
      <c r="G30" s="0" t="s">
        <v>25</v>
      </c>
      <c r="H30" s="0" t="n">
        <v>1</v>
      </c>
      <c r="I30" s="0" t="n">
        <v>0.5</v>
      </c>
      <c r="L30" s="0" t="n">
        <f aca="false">IF(H30&lt;2,0,IF(H30&lt;4,1,2))</f>
        <v>0</v>
      </c>
      <c r="M30" s="0" t="str">
        <f aca="false">IF(L30=0,"низкая",IF(L30=1,"средняя","высокая"))</f>
        <v>низкая</v>
      </c>
    </row>
    <row r="31" customFormat="false" ht="13.8" hidden="false" customHeight="false" outlineLevel="0" collapsed="false">
      <c r="A31" s="0" t="n">
        <v>2</v>
      </c>
      <c r="B31" s="0" t="s">
        <v>26</v>
      </c>
      <c r="C31" s="0" t="n">
        <v>1</v>
      </c>
      <c r="D31" s="0" t="s">
        <v>21</v>
      </c>
      <c r="E31" s="0" t="n">
        <v>1</v>
      </c>
      <c r="F31" s="0" t="s">
        <v>17</v>
      </c>
      <c r="G31" s="0" t="s">
        <v>23</v>
      </c>
      <c r="H31" s="0" t="n">
        <v>2</v>
      </c>
      <c r="I31" s="0" t="n">
        <v>0.5</v>
      </c>
      <c r="J31" s="0" t="n">
        <v>0</v>
      </c>
      <c r="L31" s="0" t="n">
        <f aca="false">IF(H31&lt;2,0,IF(H31&lt;4,1,2))</f>
        <v>1</v>
      </c>
      <c r="M31" s="0" t="str">
        <f aca="false">IF(L31=0,"низкая",IF(L31=1,"средняя","высокая"))</f>
        <v>средняя</v>
      </c>
    </row>
    <row r="32" customFormat="false" ht="13.8" hidden="false" customHeight="false" outlineLevel="0" collapsed="false">
      <c r="A32" s="0" t="n">
        <v>2</v>
      </c>
      <c r="B32" s="0" t="s">
        <v>26</v>
      </c>
      <c r="C32" s="0" t="n">
        <v>1</v>
      </c>
      <c r="D32" s="0" t="s">
        <v>21</v>
      </c>
      <c r="E32" s="0" t="n">
        <v>2</v>
      </c>
      <c r="F32" s="0" t="s">
        <v>19</v>
      </c>
      <c r="G32" s="0" t="s">
        <v>25</v>
      </c>
      <c r="H32" s="0" t="n">
        <v>1</v>
      </c>
      <c r="I32" s="0" t="n">
        <v>0.5</v>
      </c>
      <c r="L32" s="0" t="n">
        <f aca="false">IF(H32&lt;2,0,IF(H32&lt;4,1,2))</f>
        <v>0</v>
      </c>
      <c r="M32" s="0" t="str">
        <f aca="false">IF(L32=0,"низкая",IF(L32=1,"средняя","высокая"))</f>
        <v>низкая</v>
      </c>
    </row>
    <row r="33" customFormat="false" ht="13.8" hidden="false" customHeight="false" outlineLevel="0" collapsed="false">
      <c r="A33" s="0" t="n">
        <v>2</v>
      </c>
      <c r="B33" s="0" t="s">
        <v>26</v>
      </c>
      <c r="C33" s="0" t="n">
        <v>1</v>
      </c>
      <c r="D33" s="0" t="s">
        <v>21</v>
      </c>
      <c r="E33" s="0" t="n">
        <v>3</v>
      </c>
      <c r="F33" s="0" t="s">
        <v>20</v>
      </c>
      <c r="G33" s="0" t="s">
        <v>25</v>
      </c>
      <c r="H33" s="0" t="n">
        <v>1</v>
      </c>
      <c r="I33" s="0" t="n">
        <v>0.5</v>
      </c>
      <c r="J33" s="0" t="n">
        <v>0</v>
      </c>
      <c r="L33" s="0" t="n">
        <f aca="false">IF(H33&lt;2,0,IF(H33&lt;4,1,2))</f>
        <v>0</v>
      </c>
      <c r="M33" s="0" t="str">
        <f aca="false">IF(L33=0,"низкая",IF(L33=1,"средняя","высокая"))</f>
        <v>низкая</v>
      </c>
    </row>
    <row r="34" customFormat="false" ht="13.8" hidden="false" customHeight="false" outlineLevel="0" collapsed="false">
      <c r="A34" s="0" t="n">
        <v>2</v>
      </c>
      <c r="B34" s="0" t="s">
        <v>26</v>
      </c>
      <c r="C34" s="0" t="n">
        <v>2</v>
      </c>
      <c r="D34" s="0" t="s">
        <v>22</v>
      </c>
      <c r="E34" s="0" t="n">
        <v>0</v>
      </c>
      <c r="F34" s="0" t="s">
        <v>15</v>
      </c>
      <c r="G34" s="0" t="s">
        <v>25</v>
      </c>
      <c r="H34" s="0" t="n">
        <v>1</v>
      </c>
      <c r="I34" s="0" t="n">
        <v>0.5</v>
      </c>
      <c r="J34" s="0" t="n">
        <v>0</v>
      </c>
      <c r="L34" s="0" t="n">
        <f aca="false">IF(H34&lt;2,0,IF(H34&lt;4,1,2))</f>
        <v>0</v>
      </c>
      <c r="M34" s="0" t="str">
        <f aca="false">IF(L34=0,"низкая",IF(L34=1,"средняя","высокая"))</f>
        <v>низкая</v>
      </c>
    </row>
    <row r="35" customFormat="false" ht="13.8" hidden="false" customHeight="false" outlineLevel="0" collapsed="false">
      <c r="A35" s="0" t="n">
        <v>2</v>
      </c>
      <c r="B35" s="0" t="s">
        <v>26</v>
      </c>
      <c r="C35" s="0" t="n">
        <v>2</v>
      </c>
      <c r="D35" s="0" t="s">
        <v>22</v>
      </c>
      <c r="E35" s="0" t="n">
        <v>1</v>
      </c>
      <c r="F35" s="0" t="s">
        <v>17</v>
      </c>
      <c r="G35" s="0" t="s">
        <v>23</v>
      </c>
      <c r="H35" s="0" t="n">
        <v>2</v>
      </c>
      <c r="I35" s="0" t="n">
        <v>0.5</v>
      </c>
      <c r="J35" s="0" t="n">
        <v>0</v>
      </c>
      <c r="L35" s="0" t="n">
        <f aca="false">IF(H35&lt;2,0,IF(H35&lt;4,1,2))</f>
        <v>1</v>
      </c>
      <c r="M35" s="0" t="str">
        <f aca="false">IF(L35=0,"низкая",IF(L35=1,"средняя","высокая"))</f>
        <v>средняя</v>
      </c>
    </row>
    <row r="36" customFormat="false" ht="13.8" hidden="false" customHeight="false" outlineLevel="0" collapsed="false">
      <c r="A36" s="0" t="n">
        <v>2</v>
      </c>
      <c r="B36" s="0" t="s">
        <v>26</v>
      </c>
      <c r="C36" s="0" t="n">
        <v>2</v>
      </c>
      <c r="D36" s="0" t="s">
        <v>22</v>
      </c>
      <c r="E36" s="0" t="n">
        <v>2</v>
      </c>
      <c r="F36" s="0" t="s">
        <v>19</v>
      </c>
      <c r="G36" s="0" t="s">
        <v>25</v>
      </c>
      <c r="H36" s="0" t="n">
        <v>1</v>
      </c>
      <c r="I36" s="0" t="n">
        <v>0.5</v>
      </c>
      <c r="L36" s="0" t="n">
        <f aca="false">IF(H36&lt;2,0,IF(H36&lt;4,1,2))</f>
        <v>0</v>
      </c>
      <c r="M36" s="0" t="str">
        <f aca="false">IF(L36=0,"низкая",IF(L36=1,"средняя","высокая"))</f>
        <v>низкая</v>
      </c>
    </row>
    <row r="37" customFormat="false" ht="13.8" hidden="false" customHeight="false" outlineLevel="0" collapsed="false">
      <c r="A37" s="0" t="n">
        <v>2</v>
      </c>
      <c r="B37" s="0" t="s">
        <v>26</v>
      </c>
      <c r="C37" s="0" t="n">
        <v>2</v>
      </c>
      <c r="D37" s="0" t="s">
        <v>22</v>
      </c>
      <c r="E37" s="0" t="n">
        <v>3</v>
      </c>
      <c r="F37" s="0" t="s">
        <v>20</v>
      </c>
      <c r="G37" s="0" t="s">
        <v>27</v>
      </c>
      <c r="H37" s="0" t="n">
        <v>0</v>
      </c>
      <c r="I37" s="0" t="n">
        <v>0.15</v>
      </c>
      <c r="J37" s="0" t="n">
        <v>3</v>
      </c>
      <c r="K37" s="0" t="n">
        <v>0</v>
      </c>
      <c r="L37" s="0" t="n">
        <f aca="false">IF(H37&lt;2,0,IF(H37&lt;4,1,2))</f>
        <v>0</v>
      </c>
      <c r="M37" s="0" t="str">
        <f aca="false">IF(L37=0,"низкая",IF(L37=1,"средняя","высокая"))</f>
        <v>низкая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7.24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5</v>
      </c>
      <c r="D1" s="1" t="s">
        <v>6</v>
      </c>
      <c r="E1" s="1" t="s">
        <v>10</v>
      </c>
      <c r="F1" s="1" t="s">
        <v>9</v>
      </c>
    </row>
    <row r="2" customFormat="false" ht="15" hidden="false" customHeight="false" outlineLevel="0" collapsed="false">
      <c r="A2" s="0" t="s">
        <v>26</v>
      </c>
      <c r="B2" s="0" t="s">
        <v>22</v>
      </c>
      <c r="C2" s="0" t="s">
        <v>20</v>
      </c>
      <c r="D2" s="0" t="s">
        <v>27</v>
      </c>
      <c r="E2" s="0" t="n">
        <v>0</v>
      </c>
      <c r="F2" s="0" t="n">
        <v>3</v>
      </c>
    </row>
    <row r="3" customFormat="false" ht="15" hidden="false" customHeight="false" outlineLevel="0" collapsed="false">
      <c r="A3" s="0" t="s">
        <v>13</v>
      </c>
      <c r="B3" s="0" t="s">
        <v>22</v>
      </c>
      <c r="C3" s="0" t="s">
        <v>20</v>
      </c>
      <c r="D3" s="0" t="s">
        <v>18</v>
      </c>
      <c r="E3" s="0" t="n">
        <v>4.6</v>
      </c>
      <c r="F3" s="0" t="n">
        <v>188</v>
      </c>
    </row>
    <row r="4" customFormat="false" ht="15" hidden="false" customHeight="false" outlineLevel="0" collapsed="false">
      <c r="A4" s="0" t="s">
        <v>24</v>
      </c>
      <c r="B4" s="0" t="s">
        <v>22</v>
      </c>
      <c r="C4" s="0" t="s">
        <v>20</v>
      </c>
      <c r="D4" s="0" t="s">
        <v>18</v>
      </c>
      <c r="E4" s="0" t="n">
        <v>4.69</v>
      </c>
      <c r="F4" s="0" t="n">
        <v>13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17</v>
      </c>
      <c r="D5" s="0" t="s">
        <v>18</v>
      </c>
      <c r="F5" s="0" t="n">
        <v>0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  <c r="D6" s="0" t="s">
        <v>16</v>
      </c>
      <c r="F6" s="0" t="n">
        <v>0</v>
      </c>
    </row>
    <row r="7" customFormat="false" ht="15" hidden="false" customHeight="false" outlineLevel="0" collapsed="false">
      <c r="A7" s="0" t="s">
        <v>13</v>
      </c>
      <c r="B7" s="0" t="s">
        <v>21</v>
      </c>
      <c r="C7" s="0" t="s">
        <v>17</v>
      </c>
      <c r="D7" s="0" t="s">
        <v>16</v>
      </c>
      <c r="F7" s="0" t="n">
        <v>0</v>
      </c>
    </row>
    <row r="8" customFormat="false" ht="15" hidden="false" customHeight="false" outlineLevel="0" collapsed="false">
      <c r="A8" s="0" t="s">
        <v>24</v>
      </c>
      <c r="B8" s="0" t="s">
        <v>14</v>
      </c>
      <c r="C8" s="0" t="s">
        <v>17</v>
      </c>
      <c r="D8" s="0" t="s">
        <v>23</v>
      </c>
      <c r="F8" s="0" t="n">
        <v>0</v>
      </c>
    </row>
    <row r="9" customFormat="false" ht="15" hidden="false" customHeight="false" outlineLevel="0" collapsed="false">
      <c r="A9" s="0" t="s">
        <v>26</v>
      </c>
      <c r="B9" s="0" t="s">
        <v>22</v>
      </c>
      <c r="C9" s="0" t="s">
        <v>15</v>
      </c>
      <c r="D9" s="0" t="s">
        <v>25</v>
      </c>
      <c r="F9" s="0" t="n">
        <v>0</v>
      </c>
    </row>
    <row r="10" customFormat="false" ht="15" hidden="false" customHeight="false" outlineLevel="0" collapsed="false">
      <c r="A10" s="0" t="s">
        <v>26</v>
      </c>
      <c r="B10" s="0" t="s">
        <v>21</v>
      </c>
      <c r="C10" s="0" t="s">
        <v>20</v>
      </c>
      <c r="D10" s="0" t="s">
        <v>25</v>
      </c>
      <c r="F10" s="0" t="n">
        <v>0</v>
      </c>
    </row>
    <row r="11" customFormat="false" ht="15" hidden="false" customHeight="false" outlineLevel="0" collapsed="false">
      <c r="A11" s="0" t="s">
        <v>24</v>
      </c>
      <c r="B11" s="0" t="s">
        <v>22</v>
      </c>
      <c r="C11" s="0" t="s">
        <v>15</v>
      </c>
      <c r="D11" s="0" t="s">
        <v>25</v>
      </c>
      <c r="F11" s="0" t="n">
        <v>0</v>
      </c>
    </row>
    <row r="12" customFormat="false" ht="15" hidden="false" customHeight="false" outlineLevel="0" collapsed="false">
      <c r="A12" s="0" t="s">
        <v>26</v>
      </c>
      <c r="B12" s="0" t="s">
        <v>22</v>
      </c>
      <c r="C12" s="0" t="s">
        <v>17</v>
      </c>
      <c r="D12" s="0" t="s">
        <v>23</v>
      </c>
      <c r="F12" s="0" t="n">
        <v>0</v>
      </c>
    </row>
    <row r="13" customFormat="false" ht="15" hidden="false" customHeight="false" outlineLevel="0" collapsed="false">
      <c r="A13" s="0" t="s">
        <v>24</v>
      </c>
      <c r="B13" s="0" t="s">
        <v>21</v>
      </c>
      <c r="C13" s="0" t="s">
        <v>15</v>
      </c>
      <c r="D13" s="0" t="s">
        <v>23</v>
      </c>
      <c r="F13" s="0" t="n">
        <v>0</v>
      </c>
    </row>
    <row r="14" customFormat="false" ht="15" hidden="false" customHeight="false" outlineLevel="0" collapsed="false">
      <c r="A14" s="0" t="s">
        <v>24</v>
      </c>
      <c r="B14" s="0" t="s">
        <v>14</v>
      </c>
      <c r="C14" s="0" t="s">
        <v>15</v>
      </c>
      <c r="D14" s="0" t="s">
        <v>16</v>
      </c>
      <c r="F14" s="0" t="n">
        <v>0</v>
      </c>
    </row>
    <row r="15" customFormat="false" ht="15" hidden="false" customHeight="false" outlineLevel="0" collapsed="false">
      <c r="A15" s="0" t="s">
        <v>26</v>
      </c>
      <c r="B15" s="0" t="s">
        <v>21</v>
      </c>
      <c r="C15" s="0" t="s">
        <v>17</v>
      </c>
      <c r="D15" s="0" t="s">
        <v>23</v>
      </c>
      <c r="F1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.56"/>
    <col collapsed="false" customWidth="true" hidden="false" outlineLevel="0" max="2" min="2" style="0" width="16.96"/>
  </cols>
  <sheetData>
    <row r="1" customFormat="false" ht="15" hidden="false" customHeight="false" outlineLevel="0" collapsed="false">
      <c r="A1" s="1" t="s">
        <v>28</v>
      </c>
      <c r="B1" s="1" t="s">
        <v>29</v>
      </c>
    </row>
    <row r="2" customFormat="false" ht="15" hidden="false" customHeight="false" outlineLevel="0" collapsed="false">
      <c r="A2" s="0" t="s">
        <v>30</v>
      </c>
      <c r="B2" s="0" t="n">
        <v>36</v>
      </c>
    </row>
    <row r="3" customFormat="false" ht="15" hidden="false" customHeight="false" outlineLevel="0" collapsed="false">
      <c r="A3" s="0" t="s">
        <v>31</v>
      </c>
      <c r="B3" s="0" t="n">
        <v>14</v>
      </c>
    </row>
    <row r="4" customFormat="false" ht="15" hidden="false" customHeight="false" outlineLevel="0" collapsed="false">
      <c r="A4" s="0" t="s">
        <v>32</v>
      </c>
      <c r="B4" s="0" t="n">
        <v>22</v>
      </c>
    </row>
    <row r="5" customFormat="false" ht="15" hidden="false" customHeight="false" outlineLevel="0" collapsed="false">
      <c r="A5" s="0" t="s">
        <v>33</v>
      </c>
      <c r="B5" s="0" t="s">
        <v>34</v>
      </c>
    </row>
    <row r="6" customFormat="false" ht="15" hidden="false" customHeight="false" outlineLevel="0" collapsed="false">
      <c r="A6" s="0" t="s">
        <v>35</v>
      </c>
      <c r="B6" s="0" t="s">
        <v>36</v>
      </c>
    </row>
    <row r="7" customFormat="false" ht="15" hidden="false" customHeight="false" outlineLevel="0" collapsed="false">
      <c r="A7" s="0" t="s">
        <v>37</v>
      </c>
      <c r="B7" s="0" t="s">
        <v>38</v>
      </c>
    </row>
    <row r="8" customFormat="false" ht="15" hidden="false" customHeight="false" outlineLevel="0" collapsed="false">
      <c r="A8" s="0" t="s">
        <v>39</v>
      </c>
      <c r="B8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44"/>
    <col collapsed="false" customWidth="true" hidden="false" outlineLevel="0" max="2" min="2" style="0" width="13.76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17</v>
      </c>
      <c r="D1" s="1" t="s">
        <v>15</v>
      </c>
      <c r="E1" s="1" t="s">
        <v>19</v>
      </c>
      <c r="F1" s="1" t="s">
        <v>20</v>
      </c>
    </row>
    <row r="2" customFormat="false" ht="15" hidden="false" customHeight="false" outlineLevel="0" collapsed="false">
      <c r="A2" s="1" t="s">
        <v>26</v>
      </c>
      <c r="B2" s="1" t="s">
        <v>14</v>
      </c>
      <c r="C2" s="0" t="s">
        <v>23</v>
      </c>
      <c r="D2" s="0" t="s">
        <v>23</v>
      </c>
      <c r="E2" s="0" t="s">
        <v>23</v>
      </c>
      <c r="F2" s="0" t="s">
        <v>23</v>
      </c>
    </row>
    <row r="3" customFormat="false" ht="15" hidden="false" customHeight="false" outlineLevel="0" collapsed="false">
      <c r="A3" s="1"/>
      <c r="B3" s="1" t="s">
        <v>22</v>
      </c>
      <c r="C3" s="0" t="s">
        <v>23</v>
      </c>
      <c r="D3" s="0" t="s">
        <v>25</v>
      </c>
      <c r="E3" s="0" t="s">
        <v>25</v>
      </c>
      <c r="F3" s="0" t="s">
        <v>27</v>
      </c>
    </row>
    <row r="4" customFormat="false" ht="15" hidden="false" customHeight="false" outlineLevel="0" collapsed="false">
      <c r="A4" s="1"/>
      <c r="B4" s="1" t="s">
        <v>21</v>
      </c>
      <c r="C4" s="0" t="s">
        <v>23</v>
      </c>
      <c r="D4" s="0" t="s">
        <v>25</v>
      </c>
      <c r="E4" s="0" t="s">
        <v>25</v>
      </c>
      <c r="F4" s="0" t="s">
        <v>25</v>
      </c>
    </row>
    <row r="5" customFormat="false" ht="15" hidden="false" customHeight="false" outlineLevel="0" collapsed="false">
      <c r="A5" s="1" t="s">
        <v>13</v>
      </c>
      <c r="B5" s="1" t="s">
        <v>14</v>
      </c>
      <c r="C5" s="0" t="s">
        <v>18</v>
      </c>
      <c r="D5" s="0" t="s">
        <v>16</v>
      </c>
      <c r="E5" s="0" t="s">
        <v>16</v>
      </c>
      <c r="F5" s="0" t="s">
        <v>16</v>
      </c>
    </row>
    <row r="6" customFormat="false" ht="15" hidden="false" customHeight="false" outlineLevel="0" collapsed="false">
      <c r="A6" s="1"/>
      <c r="B6" s="1" t="s">
        <v>22</v>
      </c>
      <c r="C6" s="0" t="s">
        <v>23</v>
      </c>
      <c r="D6" s="0" t="s">
        <v>23</v>
      </c>
      <c r="E6" s="0" t="s">
        <v>23</v>
      </c>
      <c r="F6" s="0" t="s">
        <v>18</v>
      </c>
    </row>
    <row r="7" customFormat="false" ht="15" hidden="false" customHeight="false" outlineLevel="0" collapsed="false">
      <c r="A7" s="1"/>
      <c r="B7" s="1" t="s">
        <v>21</v>
      </c>
      <c r="C7" s="0" t="s">
        <v>16</v>
      </c>
      <c r="D7" s="0" t="s">
        <v>16</v>
      </c>
      <c r="E7" s="0" t="s">
        <v>16</v>
      </c>
      <c r="F7" s="0" t="s">
        <v>16</v>
      </c>
    </row>
    <row r="8" customFormat="false" ht="15" hidden="false" customHeight="false" outlineLevel="0" collapsed="false">
      <c r="A8" s="1" t="s">
        <v>24</v>
      </c>
      <c r="B8" s="1" t="s">
        <v>14</v>
      </c>
      <c r="C8" s="0" t="s">
        <v>23</v>
      </c>
      <c r="D8" s="0" t="s">
        <v>16</v>
      </c>
      <c r="E8" s="0" t="s">
        <v>16</v>
      </c>
      <c r="F8" s="0" t="s">
        <v>16</v>
      </c>
    </row>
    <row r="9" customFormat="false" ht="15" hidden="false" customHeight="false" outlineLevel="0" collapsed="false">
      <c r="A9" s="1"/>
      <c r="B9" s="1" t="s">
        <v>22</v>
      </c>
      <c r="C9" s="0" t="s">
        <v>25</v>
      </c>
      <c r="D9" s="0" t="s">
        <v>25</v>
      </c>
      <c r="E9" s="0" t="s">
        <v>25</v>
      </c>
      <c r="F9" s="0" t="s">
        <v>18</v>
      </c>
    </row>
    <row r="10" customFormat="false" ht="15" hidden="false" customHeight="false" outlineLevel="0" collapsed="false">
      <c r="A10" s="1"/>
      <c r="B10" s="1" t="s">
        <v>21</v>
      </c>
      <c r="C10" s="0" t="s">
        <v>23</v>
      </c>
      <c r="D10" s="0" t="s">
        <v>23</v>
      </c>
      <c r="E10" s="0" t="s">
        <v>23</v>
      </c>
      <c r="F10" s="0" t="s">
        <v>23</v>
      </c>
    </row>
  </sheetData>
  <mergeCells count="3">
    <mergeCell ref="A2:A4"/>
    <mergeCell ref="A5:A7"/>
    <mergeCell ref="A8:A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2026-05-23T16:35:49Z</dcterms:created>
  <dc:creator>openpyxl</dc:creator>
  <dc:description/>
  <dc:language>ru-RU</dc:language>
  <cp:lastModifiedBy/>
  <dcterms:modified xsi:type="dcterms:W3CDTF">2026-05-30T17:53:44Z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