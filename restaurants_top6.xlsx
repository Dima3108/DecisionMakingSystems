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6FD92D-CD27-44A0-AA3B-5E755C2E8788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Описание" sheetId="1" r:id="rId1"/>
    <sheet name="Выборка_40" sheetId="2" r:id="rId2"/>
    <sheet name="Фин_данные" sheetId="3" r:id="rId3"/>
    <sheet name="Рейтинг" sheetId="4" r:id="rId4"/>
    <sheet name="Топ_6_и_графики" sheetId="5" r:id="rId5"/>
  </sheets>
  <calcPr calcId="191029"/>
</workbook>
</file>

<file path=xl/calcChain.xml><?xml version="1.0" encoding="utf-8"?>
<calcChain xmlns="http://schemas.openxmlformats.org/spreadsheetml/2006/main">
  <c r="K28" i="5" l="1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<sst xmlns="http://schemas.openxmlformats.org/spreadsheetml/2006/main" count="1203" uniqueCount="147">
  <si>
    <t>Что сделано</t>
  </si>
  <si>
    <t>1. Открыт лист «Все Значения» исходного файла и взяты записи 1–80 после строки заголовка.</t>
  </si>
  <si>
    <t>2. Из этих записей выбрано 40 объектов: запись 3 и записи 42–80. Такой выбор сделан потому, что среди них больше сетевых кафе/ресторанов, по которым есть открытая финансовая информация.</t>
  </si>
  <si>
    <t>3. Для выбранных 40 записей собраны открытые сведения за 2023–2025 годы: выручка, валовая прибыль, чистая прибыль, чистый убыток, численность персонала. Если показатель не удалось найти, оставлено пустое значение / «-».</t>
  </si>
  <si>
    <t>4. Рассчитан показатель эффективности по формуле: ((чистая прибыль - чистый убыток) / чистая прибыль) * 100. Если чистой прибыли нет, но есть убыток, для сортировки поставлено -100; это отмечено как допущение.</t>
  </si>
  <si>
    <t>5. Данные отсортированы по эффективности. В отдельную таблицу вынесены 6 объектов: 2 максимальных, 2 средних и 2 минимальных среди найденных.</t>
  </si>
  <si>
    <t>6. Для топ-6 добавлена детальная динамика за 3 года. Поквартальные данные по частным ООО в открытых источниках в основном не публикуются, поэтому графики построены по годам.</t>
  </si>
  <si>
    <t>№ записи</t>
  </si>
  <si>
    <t>_Название</t>
  </si>
  <si>
    <t>_Улица</t>
  </si>
  <si>
    <t>_Находится_в_ТЦ</t>
  </si>
  <si>
    <t>_Количество_Конкурентов</t>
  </si>
  <si>
    <t>_Парковка</t>
  </si>
  <si>
    <t>_Вид_входа</t>
  </si>
  <si>
    <t>_ТипПарковки</t>
  </si>
  <si>
    <t>_ТипВхода</t>
  </si>
  <si>
    <t>_Этаж</t>
  </si>
  <si>
    <t>_Средняя_оценка_по_данным_яндекс_карт</t>
  </si>
  <si>
    <t>_Количество_отзывов_до_01_01_2026_</t>
  </si>
  <si>
    <t>_Среднее_кол_во_отзывов_в_год_до_01_01_2026_</t>
  </si>
  <si>
    <t>_ДоляОтносительно_МаксСреднего_по_отзывам</t>
  </si>
  <si>
    <t>_ВыходнаяОценка</t>
  </si>
  <si>
    <t>Найденное юрлицо/уровень данных</t>
  </si>
  <si>
    <t>Статус поиска</t>
  </si>
  <si>
    <t>Старик_Хинкалыч</t>
  </si>
  <si>
    <t>Красная_улица__176_к5__Краснодар</t>
  </si>
  <si>
    <t>Платная</t>
  </si>
  <si>
    <t>Через_ТЦ</t>
  </si>
  <si>
    <t>-</t>
  </si>
  <si>
    <t>не найдено</t>
  </si>
  <si>
    <t>Крошка_Картошка</t>
  </si>
  <si>
    <t>Крылатая_ул.__2__жилой_массив_Пашковский__Краснодар</t>
  </si>
  <si>
    <t>Бесплатная</t>
  </si>
  <si>
    <t>ООО «Крошка Картошка»</t>
  </si>
  <si>
    <t>найдено частично/полностью</t>
  </si>
  <si>
    <t>Осетинские_пироги</t>
  </si>
  <si>
    <t>Красная_ул.__176/5</t>
  </si>
  <si>
    <t>Вкус_Японии</t>
  </si>
  <si>
    <t>Заполярная_ул.__39__корп._5__микрорайон_Славянский__Прикубанский_внутригородской_округ</t>
  </si>
  <si>
    <t>С_улицы</t>
  </si>
  <si>
    <t>Бургер_Кинг</t>
  </si>
  <si>
    <t>ул._Уральская__98/11__Краснодар__Краснодарский_край__350075</t>
  </si>
  <si>
    <t>ООО «Бургер Рус» (основное юрлицо сети Burger King в РФ)</t>
  </si>
  <si>
    <t>Синнабон</t>
  </si>
  <si>
    <t>Пан_картофан</t>
  </si>
  <si>
    <t>ПРОСУШИ</t>
  </si>
  <si>
    <t>ул._Уральская__79/1__Краснодар__Краснодарский_край__350059</t>
  </si>
  <si>
    <t>Додо_Пицца</t>
  </si>
  <si>
    <t>ООО «Додо Пицца Самара» (пример юрлица франчайзи; не вся сеть)</t>
  </si>
  <si>
    <t>Чайхана_Анор-Анор</t>
  </si>
  <si>
    <t>Rostic`s</t>
  </si>
  <si>
    <t>ООО «Юнирест» (основное юрлицо сети Rostic's)</t>
  </si>
  <si>
    <t>Вкусно_—_и_точка</t>
  </si>
  <si>
    <t>ООО «Система ПБО» (основное юрлицо сети «Вкусно — и точка»)</t>
  </si>
  <si>
    <t>Харчо</t>
  </si>
  <si>
    <t>Mybox</t>
  </si>
  <si>
    <t>Secret Kitchen / MYBOX (данные франчайзера по открытой публикации)</t>
  </si>
  <si>
    <t>Любокофе</t>
  </si>
  <si>
    <t>Sbw_X_Subway</t>
  </si>
  <si>
    <t>Жарицца_Пицца</t>
  </si>
  <si>
    <t>​Красная_улица__160__Краснодар</t>
  </si>
  <si>
    <t>Рыбка_by_Angela</t>
  </si>
  <si>
    <t>Дальняя_ул.__8__корп._1</t>
  </si>
  <si>
    <t>Дим_кофе</t>
  </si>
  <si>
    <t>Краснодар__Дальняя_улица</t>
  </si>
  <si>
    <t>Уни</t>
  </si>
  <si>
    <t>​Московская_улица__1__Краснодар</t>
  </si>
  <si>
    <t>Отсутсвует</t>
  </si>
  <si>
    <t>Папа_Джонс</t>
  </si>
  <si>
    <t>​Улица_им._40-летия_Победы__172/1__Краснодар</t>
  </si>
  <si>
    <t>Вкуснолюбов</t>
  </si>
  <si>
    <t>ООО «Вкуснолюбов»</t>
  </si>
  <si>
    <t>Subway_by_Whatsubs</t>
  </si>
  <si>
    <t>​Улица_Мира__38__Краснодар</t>
  </si>
  <si>
    <t>Каскад</t>
  </si>
  <si>
    <t>Постовая_ул.__34/1</t>
  </si>
  <si>
    <t>Шаурма_Чили</t>
  </si>
  <si>
    <t>​Улица_Димитрова__127/3_киоск__Краснодар</t>
  </si>
  <si>
    <t>Акконд</t>
  </si>
  <si>
    <t>Красная_ул.__194</t>
  </si>
  <si>
    <t>АО «Акконд»</t>
  </si>
  <si>
    <t>Гридневъ_-_Хлебъ</t>
  </si>
  <si>
    <t>Улица_им._Адмирала_Крузенштерна__5_к2__Краснодар</t>
  </si>
  <si>
    <t>Зона_Лаунж</t>
  </si>
  <si>
    <t>Северная_улица__2__Краснодар</t>
  </si>
  <si>
    <t>Улица_им._Володи_Головатого__311__Краснодар</t>
  </si>
  <si>
    <t>Улица_им._Володи_Головатого__313__Краснодар</t>
  </si>
  <si>
    <t>Теремок</t>
  </si>
  <si>
    <t>ООО «Теремок — русские блины» / сеть «Теремок»</t>
  </si>
  <si>
    <t>Мясоед</t>
  </si>
  <si>
    <t>Craft_Coffee</t>
  </si>
  <si>
    <t>Том_Ям</t>
  </si>
  <si>
    <t>Любо</t>
  </si>
  <si>
    <t>TomiOmi</t>
  </si>
  <si>
    <t>Название</t>
  </si>
  <si>
    <t>Адрес</t>
  </si>
  <si>
    <t>Юрлицо/уровень данных</t>
  </si>
  <si>
    <t>Год</t>
  </si>
  <si>
    <t>Выручка, млн руб.</t>
  </si>
  <si>
    <t>Валовая прибыль, млн руб.</t>
  </si>
  <si>
    <t>Чистая прибыль, млн руб.</t>
  </si>
  <si>
    <t>Чистый убыток, млн руб.</t>
  </si>
  <si>
    <t>Кол-во персонала</t>
  </si>
  <si>
    <t>Эффективность, %</t>
  </si>
  <si>
    <t>Источник</t>
  </si>
  <si>
    <t>Комментарий</t>
  </si>
  <si>
    <t>Открытые финансовые показатели по названию точки не найдены.</t>
  </si>
  <si>
    <t>https://checko.ru/company/kroshka-kartoshka-1227700025167; https://www.audit-it.ru/contragent/1227700025167_ooo-kroshka-kartoshka</t>
  </si>
  <si>
    <t>Выручка 2023 найдена в открытых источниках; прибыль не найдена.</t>
  </si>
  <si>
    <t>2024 выручка восстановлена из снижения 2025 на 6%; чистая прибыль из Audit-it.</t>
  </si>
  <si>
    <t>Данные Checko/ФНС: чистая прибыль отрицательная, поэтому занесена как чистый убыток.</t>
  </si>
  <si>
    <t>https://www.forbes.ru/biznes/559134-cistaa-pribyl-treh-krupnejsih-rossijskih-fastfud-setej-rezko-sokratilas; https://www.interfax.ru/business/1017841; https://checko.ru/company/burger-rus-1097746274009</t>
  </si>
  <si>
    <t>2023 восстановлено из роста 2024 (+21,2%) и снижения чистой прибыли 2024 (-8,1%).</t>
  </si>
  <si>
    <t>Данные по РСБУ из публикации Interfax.</t>
  </si>
  <si>
    <t>Выручка и чистая прибыль из Forbes/Checko; валовая прибыль не найдена в открытой публикации.</t>
  </si>
  <si>
    <t>https://checko.ru/company/dodo-picca-samara-1146317004393</t>
  </si>
  <si>
    <t>На странице найдена численность; выручка/прибыль за год не отображены в открытом фрагменте.</t>
  </si>
  <si>
    <t>2024 восстановлено из данных 2025: выручка +27%, чистая прибыль -11%.</t>
  </si>
  <si>
    <t>Данные Checko/ФНС.</t>
  </si>
  <si>
    <t>https://www.forbes.ru/biznes/559134-cistaa-pribyl-treh-krupnejsih-rossijskih-fastfud-setej-rezko-sokratilas; https://www.interfax.ru/business/1017841; https://hf.ru/blog/interview/raz-rostics</t>
  </si>
  <si>
    <t>Выручка и прибыль по интервью; валовая прибыль восстановлена из роста 2024 (+34,7%).</t>
  </si>
  <si>
    <t>Данные из Interfax.</t>
  </si>
  <si>
    <t>Выручка и чистая прибыль из Forbes/Коммерсантъ; валовая прибыль не найдена.</t>
  </si>
  <si>
    <t>https://www.interfax.ru/business/1080932; https://www.interfax.ru/business/1017841; https://www.interfax.ru/business/950998</t>
  </si>
  <si>
    <t>Выручка восстановлена из роста 2024 на 20,3%; валовая прибыль и чистая прибыль из Interfax.</t>
  </si>
  <si>
    <t>Данные по РСБУ из Interfax.</t>
  </si>
  <si>
    <t>Данные по РСБУ из Interfax/Expert.</t>
  </si>
  <si>
    <t>https://www.forbes.ru/franchise/539995-secret-kitchen</t>
  </si>
  <si>
    <t>Найдена выручка франчайзера; прибыль не опубликована.</t>
  </si>
  <si>
    <t>Данные не найдены.</t>
  </si>
  <si>
    <t>https://checko.ru/company/vkusnolyubov-1166196056916</t>
  </si>
  <si>
    <t>Данные не найдены в открытом фрагменте.</t>
  </si>
  <si>
    <t>Checko: выручка 0 руб., чистая прибыль -709 тыс. руб.</t>
  </si>
  <si>
    <t>https://checko.ru/company/akkond-1022100967217</t>
  </si>
  <si>
    <t>Значения взяты из открытого фрагмента Checko, округлены.</t>
  </si>
  <si>
    <t>Данные Checko/ФНС, округлены.</t>
  </si>
  <si>
    <t>https://www.tadviser.ru/index.php/Компания:Теремок_-_Русские_блины; https://www.interfax.ru/business/1037654</t>
  </si>
  <si>
    <t>Найдена выручка/оборот сети, прибыль не найдена.</t>
  </si>
  <si>
    <t>Найден оборот сети; 358 ресторанов указано как масштаб сети, не персонал.</t>
  </si>
  <si>
    <t>Найден оборот сети, прибыль не найдена.</t>
  </si>
  <si>
    <t>Сумма чистой прибыли, млн руб.</t>
  </si>
  <si>
    <t>Сумма чистого убытка, млн руб.</t>
  </si>
  <si>
    <t>Лет с найденными данными</t>
  </si>
  <si>
    <t>Группа</t>
  </si>
  <si>
    <t>2 максимальных</t>
  </si>
  <si>
    <t>2 средних</t>
  </si>
  <si>
    <t>2 минимальных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</si>
</sst>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2" fillId="2" borderId="0" xfId="1" applyFont="1" applyFill="1" applyAlignment="1">
      <alignment horizontal="center" vertical="center" wrapText="1"/>
    </xf>
    <xf numFmtId="4" fontId="2" fillId="2" borderId="0" xfId="1" applyNumberFormat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4" fontId="0" fillId="0" borderId="0" xfId="1" applyNumberFormat="1" applyFont="1"/>
    <xf numFmtId="4" fontId="0" fillId="0" borderId="0" xfId="1" applyNumberFormat="1" applyFont="1" applyAlignment="1">
      <alignment wrapText="1"/>
    </xf>
    <xf numFmtId="4" fontId="3" fillId="3" borderId="0" xfId="1" applyNumberFormat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Динамика выручки топ-6, млн руб.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Бургер_Кинг</c:v>
          </c:tx>
          <c:cat>
            <c:numRef>
              <c:f>Топ_6_и_графики!$O$2:$O$4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Топ_6_и_графики!$P$2:$P$4</c:f>
              <c:numCache>
                <c:formatCode>#,##0.00</c:formatCode>
                <c:ptCount val="3"/>
                <c:pt idx="0">
                  <c:v>74470</c:v>
                </c:pt>
                <c:pt idx="1">
                  <c:v>90260</c:v>
                </c:pt>
                <c:pt idx="2">
                  <c:v>104000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3-48DC-959B-5DE5A268D98C}"/>
            </c:ext>
          </c:extLst>
        </c:ser>
        <c:ser>
          <c:idx val="1"/>
          <c:order val="1"/>
          <c:tx>
            <c:v>Додо_Пицца</c:v>
          </c:tx>
          <c:cat>
            <c:numRef>
              <c:f>Топ_6_и_графики!$O$2:$O$4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Топ_6_и_графики!$Q$2:$Q$4</c:f>
              <c:numCache>
                <c:formatCode>#,##0.00</c:formatCode>
                <c:ptCount val="3"/>
                <c:pt idx="1">
                  <c:v>1574.8</c:v>
                </c:pt>
                <c:pt idx="2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33-48DC-959B-5DE5A268D98C}"/>
            </c:ext>
          </c:extLst>
        </c:ser>
        <c:ser>
          <c:idx val="2"/>
          <c:order val="2"/>
          <c:tx>
            <c:v>Rostic`s</c:v>
          </c:tx>
          <c:cat>
            <c:numRef>
              <c:f>Топ_6_и_графики!$O$2:$O$4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Топ_6_и_графики!$R$2:$R$4</c:f>
              <c:numCache>
                <c:formatCode>#,##0.00</c:formatCode>
                <c:ptCount val="3"/>
                <c:pt idx="0">
                  <c:v>20170</c:v>
                </c:pt>
                <c:pt idx="1">
                  <c:v>25900</c:v>
                </c:pt>
                <c:pt idx="2">
                  <c:v>30800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33-48DC-959B-5DE5A268D98C}"/>
            </c:ext>
          </c:extLst>
        </c:ser>
        <c:ser>
          <c:idx val="3"/>
          <c:order val="3"/>
          <c:tx>
            <c:v>Вкусно_—_и_точка</c:v>
          </c:tx>
          <c:cat>
            <c:numRef>
              <c:f>Топ_6_и_графики!$O$2:$O$4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Топ_6_и_графики!$S$2:$S$4</c:f>
              <c:numCache>
                <c:formatCode>#,##0.00</c:formatCode>
                <c:ptCount val="3"/>
                <c:pt idx="0">
                  <c:v>155750</c:v>
                </c:pt>
                <c:pt idx="1">
                  <c:v>187360</c:v>
                </c:pt>
                <c:pt idx="2">
                  <c:v>218600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33-48DC-959B-5DE5A268D98C}"/>
            </c:ext>
          </c:extLst>
        </c:ser>
        <c:ser>
          <c:idx val="4"/>
          <c:order val="4"/>
          <c:tx>
            <c:v>Крошка_Картошка</c:v>
          </c:tx>
          <c:cat>
            <c:numRef>
              <c:f>Топ_6_и_графики!$O$2:$O$4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Топ_6_и_графики!$T$2:$T$4</c:f>
              <c:numCache>
                <c:formatCode>#,##0.00</c:formatCode>
                <c:ptCount val="3"/>
                <c:pt idx="0">
                  <c:v>1590</c:v>
                </c:pt>
                <c:pt idx="1">
                  <c:v>2021.3</c:v>
                </c:pt>
                <c:pt idx="2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33-48DC-959B-5DE5A268D98C}"/>
            </c:ext>
          </c:extLst>
        </c:ser>
        <c:ser>
          <c:idx val="5"/>
          <c:order val="5"/>
          <c:tx>
            <c:v>Вкуснолюбов</c:v>
          </c:tx>
          <c:cat>
            <c:numRef>
              <c:f>Топ_6_и_графики!$O$2:$O$4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Топ_6_и_графики!$U$2:$U$4</c:f>
              <c:numCache>
                <c:formatCode>#,##0.00</c:formatCode>
                <c:ptCount val="3"/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33-48DC-959B-5DE5A268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Динамика чистого результата топ-6, млн руб.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Бургер_Кинг</c:v>
          </c:tx>
          <c:cat>
            <c:numRef>
              <c:f>Топ_6_и_графики!$O$8:$O$10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Топ_6_и_графики!$P$8:$P$10</c:f>
              <c:numCache>
                <c:formatCode>#,##0.00</c:formatCode>
                <c:ptCount val="3"/>
                <c:pt idx="0">
                  <c:v>1795</c:v>
                </c:pt>
                <c:pt idx="1">
                  <c:v>1630</c:v>
                </c:pt>
                <c:pt idx="2">
                  <c:v>637.6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4-4C82-9383-CC5674086D2E}"/>
            </c:ext>
          </c:extLst>
        </c:ser>
        <c:ser>
          <c:idx val="1"/>
          <c:order val="1"/>
          <c:tx>
            <c:v>Додо_Пицца</c:v>
          </c:tx>
          <c:cat>
            <c:numRef>
              <c:f>Топ_6_и_графики!$O$8:$O$10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Топ_6_и_графики!$Q$8:$Q$10</c:f>
              <c:numCache>
                <c:formatCode>#,##0.00</c:formatCode>
                <c:ptCount val="3"/>
                <c:pt idx="1">
                  <c:v>62.8</c:v>
                </c:pt>
                <c:pt idx="2">
                  <c:v>55.9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4-4C82-9383-CC5674086D2E}"/>
            </c:ext>
          </c:extLst>
        </c:ser>
        <c:ser>
          <c:idx val="2"/>
          <c:order val="2"/>
          <c:tx>
            <c:v>Rostic`s</c:v>
          </c:tx>
          <c:cat>
            <c:numRef>
              <c:f>Топ_6_и_графики!$O$8:$O$10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Топ_6_и_графики!$R$8:$R$10</c:f>
              <c:numCache>
                <c:formatCode>#,##0.00</c:formatCode>
                <c:ptCount val="3"/>
                <c:pt idx="0">
                  <c:v>3000</c:v>
                </c:pt>
                <c:pt idx="1">
                  <c:v>5680</c:v>
                </c:pt>
                <c:pt idx="2">
                  <c:v>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4-4C82-9383-CC5674086D2E}"/>
            </c:ext>
          </c:extLst>
        </c:ser>
        <c:ser>
          <c:idx val="3"/>
          <c:order val="3"/>
          <c:tx>
            <c:v>Вкусно_—_и_точка</c:v>
          </c:tx>
          <c:cat>
            <c:numRef>
              <c:f>Топ_6_и_графики!$O$8:$O$10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Топ_6_и_графики!$S$8:$S$10</c:f>
              <c:numCache>
                <c:formatCode>#,##0.00</c:formatCode>
                <c:ptCount val="3"/>
                <c:pt idx="0">
                  <c:v>14170</c:v>
                </c:pt>
                <c:pt idx="1">
                  <c:v>16960</c:v>
                </c:pt>
                <c:pt idx="2">
                  <c:v>14400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14-4C82-9383-CC5674086D2E}"/>
            </c:ext>
          </c:extLst>
        </c:ser>
        <c:ser>
          <c:idx val="4"/>
          <c:order val="4"/>
          <c:tx>
            <c:v>Крошка_Картошка</c:v>
          </c:tx>
          <c:cat>
            <c:numRef>
              <c:f>Топ_6_и_графики!$O$8:$O$10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Топ_6_и_графики!$T$8:$T$10</c:f>
              <c:numCache>
                <c:formatCode>#,##0.00</c:formatCode>
                <c:ptCount val="3"/>
                <c:pt idx="1">
                  <c:v>21.7</c:v>
                </c:pt>
                <c:pt idx="2">
                  <c:v>-2.7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14-4C82-9383-CC5674086D2E}"/>
            </c:ext>
          </c:extLst>
        </c:ser>
        <c:ser>
          <c:idx val="5"/>
          <c:order val="5"/>
          <c:tx>
            <c:v>Вкуснолюбов</c:v>
          </c:tx>
          <c:cat>
            <c:numRef>
              <c:f>Топ_6_и_графики!$O$8:$O$10</c:f>
              <c:numCache>
                <c:formatCode>#,##0.00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Топ_6_и_графики!$U$8:$U$10</c:f>
              <c:numCache>
                <c:formatCode>#,##0.00</c:formatCode>
                <c:ptCount val="3"/>
                <c:pt idx="2">
                  <c:v>-0.70899999999999996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14-4C82-9383-CC5674086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13</xdr:row>
      <xdr:rowOff>0</xdr:rowOff>
    </xdr:from>
    <xdr:to>
      <xdr:col>25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25</xdr:col>
      <xdr:colOff>0</xdr:colOff>
      <xdr:row>50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lection40" displayName="TblSelection40" ref="A1:Q41">
  <tableColumns count="17">
    <tableColumn id="1" xr3:uid="{00000000-0010-0000-0000-000001000000}" name="№ записи"/>
    <tableColumn id="2" xr3:uid="{00000000-0010-0000-0000-000002000000}" name="_Название"/>
    <tableColumn id="3" xr3:uid="{00000000-0010-0000-0000-000003000000}" name="_Улица"/>
    <tableColumn id="4" xr3:uid="{00000000-0010-0000-0000-000004000000}" name="_Находится_в_ТЦ"/>
    <tableColumn id="5" xr3:uid="{00000000-0010-0000-0000-000005000000}" name="_Количество_Конкурентов"/>
    <tableColumn id="6" xr3:uid="{00000000-0010-0000-0000-000006000000}" name="_Парковка"/>
    <tableColumn id="7" xr3:uid="{00000000-0010-0000-0000-000007000000}" name="_Вид_входа"/>
    <tableColumn id="8" xr3:uid="{00000000-0010-0000-0000-000008000000}" name="_ТипПарковки"/>
    <tableColumn id="9" xr3:uid="{00000000-0010-0000-0000-000009000000}" name="_ТипВхода"/>
    <tableColumn id="10" xr3:uid="{00000000-0010-0000-0000-00000A000000}" name="_Этаж"/>
    <tableColumn id="11" xr3:uid="{00000000-0010-0000-0000-00000B000000}" name="_Средняя_оценка_по_данным_яндекс_карт"/>
    <tableColumn id="12" xr3:uid="{00000000-0010-0000-0000-00000C000000}" name="_Количество_отзывов_до_01_01_2026_"/>
    <tableColumn id="13" xr3:uid="{00000000-0010-0000-0000-00000D000000}" name="_Среднее_кол_во_отзывов_в_год_до_01_01_2026_"/>
    <tableColumn id="14" xr3:uid="{00000000-0010-0000-0000-00000E000000}" name="_ДоляОтносительно_МаксСреднего_по_отзывам"/>
    <tableColumn id="15" xr3:uid="{00000000-0010-0000-0000-00000F000000}" name="_ВыходнаяОценка"/>
    <tableColumn id="16" xr3:uid="{00000000-0010-0000-0000-000010000000}" name="Найденное юрлицо/уровень данных"/>
    <tableColumn id="17" xr3:uid="{00000000-0010-0000-0000-000011000000}" name="Статус поиск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nanceData" displayName="TblFinanceData" ref="A1:M121">
  <tableColumns count="13">
    <tableColumn id="1" xr3:uid="{00000000-0010-0000-0100-000001000000}" name="№ записи"/>
    <tableColumn id="2" xr3:uid="{00000000-0010-0000-0100-000002000000}" name="Название"/>
    <tableColumn id="3" xr3:uid="{00000000-0010-0000-0100-000003000000}" name="Адрес"/>
    <tableColumn id="4" xr3:uid="{00000000-0010-0000-0100-000004000000}" name="Юрлицо/уровень данных"/>
    <tableColumn id="5" xr3:uid="{00000000-0010-0000-0100-000005000000}" name="Год"/>
    <tableColumn id="6" xr3:uid="{00000000-0010-0000-0100-000006000000}" name="Выручка, млн руб."/>
    <tableColumn id="7" xr3:uid="{00000000-0010-0000-0100-000007000000}" name="Валовая прибыль, млн руб."/>
    <tableColumn id="8" xr3:uid="{00000000-0010-0000-0100-000008000000}" name="Чистая прибыль, млн руб."/>
    <tableColumn id="9" xr3:uid="{00000000-0010-0000-0100-000009000000}" name="Чистый убыток, млн руб."/>
    <tableColumn id="10" xr3:uid="{00000000-0010-0000-0100-00000A000000}" name="Кол-во персонала"/>
    <tableColumn id="11" xr3:uid="{00000000-0010-0000-0100-00000B000000}" name="Эффективность, %"/>
    <tableColumn id="12" xr3:uid="{00000000-0010-0000-0100-00000C000000}" name="Источник"/>
    <tableColumn id="13" xr3:uid="{00000000-0010-0000-0100-00000D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ating" displayName="TblRating" ref="A1:I41">
  <tableColumns count="9">
    <tableColumn id="1" xr3:uid="{00000000-0010-0000-0200-000001000000}" name="№ записи"/>
    <tableColumn id="2" xr3:uid="{00000000-0010-0000-0200-000002000000}" name="Название"/>
    <tableColumn id="3" xr3:uid="{00000000-0010-0000-0200-000003000000}" name="Адрес"/>
    <tableColumn id="4" xr3:uid="{00000000-0010-0000-0200-000004000000}" name="Юрлицо/уровень данных"/>
    <tableColumn id="5" xr3:uid="{00000000-0010-0000-0200-000005000000}" name="Сумма чистой прибыли, млн руб."/>
    <tableColumn id="6" xr3:uid="{00000000-0010-0000-0200-000006000000}" name="Сумма чистого убытка, млн руб."/>
    <tableColumn id="7" xr3:uid="{00000000-0010-0000-0200-000007000000}" name="Эффективность, %"/>
    <tableColumn id="8" xr3:uid="{00000000-0010-0000-0200-000008000000}" name="Лет с найденными данными"/>
    <tableColumn id="9" xr3:uid="{00000000-0010-0000-0200-000009000000}" name="Источни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op6" displayName="TblTop6" ref="A1:J7">
  <tableColumns count="10">
    <tableColumn id="1" xr3:uid="{00000000-0010-0000-0300-000001000000}" name="Группа"/>
    <tableColumn id="2" xr3:uid="{00000000-0010-0000-0300-000002000000}" name="№ записи"/>
    <tableColumn id="3" xr3:uid="{00000000-0010-0000-0300-000003000000}" name="Название"/>
    <tableColumn id="4" xr3:uid="{00000000-0010-0000-0300-000004000000}" name="Адрес"/>
    <tableColumn id="5" xr3:uid="{00000000-0010-0000-0300-000005000000}" name="Юрлицо/уровень данных"/>
    <tableColumn id="6" xr3:uid="{00000000-0010-0000-0300-000006000000}" name="Сумма чистой прибыли, млн руб."/>
    <tableColumn id="7" xr3:uid="{00000000-0010-0000-0300-000007000000}" name="Сумма чистого убытка, млн руб."/>
    <tableColumn id="8" xr3:uid="{00000000-0010-0000-0300-000008000000}" name="Эффективность, %"/>
    <tableColumn id="9" xr3:uid="{00000000-0010-0000-0300-000009000000}" name="Лет с найденными данными"/>
    <tableColumn id="10" xr3:uid="{00000000-0010-0000-0300-00000A000000}" name="Источник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op6Detail" displayName="TblTop6Detail" ref="A10:M28">
  <tableColumns count="13">
    <tableColumn id="1" xr3:uid="{00000000-0010-0000-0400-000001000000}" name="№ записи"/>
    <tableColumn id="2" xr3:uid="{00000000-0010-0000-0400-000002000000}" name="Название"/>
    <tableColumn id="3" xr3:uid="{00000000-0010-0000-0400-000003000000}" name="Адрес"/>
    <tableColumn id="4" xr3:uid="{00000000-0010-0000-0400-000004000000}" name="Юрлицо/уровень данных"/>
    <tableColumn id="5" xr3:uid="{00000000-0010-0000-0400-000005000000}" name="Год"/>
    <tableColumn id="6" xr3:uid="{00000000-0010-0000-0400-000006000000}" name="Выручка, млн руб."/>
    <tableColumn id="7" xr3:uid="{00000000-0010-0000-0400-000007000000}" name="Валовая прибыль, млн руб."/>
    <tableColumn id="8" xr3:uid="{00000000-0010-0000-0400-000008000000}" name="Чистая прибыль, млн руб."/>
    <tableColumn id="9" xr3:uid="{00000000-0010-0000-0400-000009000000}" name="Чистый убыток, млн руб."/>
    <tableColumn id="10" xr3:uid="{00000000-0010-0000-0400-00000A000000}" name="Кол-во персонала"/>
    <tableColumn id="11" xr3:uid="{00000000-0010-0000-0400-00000B000000}" name="Эффективность, %"/>
    <tableColumn id="12" xr3:uid="{00000000-0010-0000-0400-00000C000000}" name="Источник"/>
    <tableColumn id="13" xr3:uid="{00000000-0010-0000-0400-00000D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9" sqref="A9"/>
    </sheetView>
  </sheetViews>
  <sheetFormatPr defaultRowHeight="14"/>
  <cols>
    <col min="1" max="1" width="120" customWidth="1"/>
  </cols>
  <sheetData>
    <row r="1" spans="1:1" ht="18">
      <c r="A1" s="1" t="s">
        <v>0</v>
      </c>
    </row>
    <row r="2" spans="1:1">
      <c r="A2" s="2" t="s">
        <v>1</v>
      </c>
    </row>
    <row r="3" spans="1:1" ht="28">
      <c r="A3" s="2" t="s">
        <v>2</v>
      </c>
    </row>
    <row r="4" spans="1:1" ht="28">
      <c r="A4" s="2" t="s">
        <v>3</v>
      </c>
    </row>
    <row r="5" spans="1:1" ht="28">
      <c r="A5" s="2" t="s">
        <v>4</v>
      </c>
    </row>
    <row r="6" spans="1:1" ht="28">
      <c r="A6" s="2" t="s">
        <v>5</v>
      </c>
    </row>
    <row r="7" spans="1:1" ht="28">
      <c r="A7" s="2" t="s">
        <v>6</v>
      </c>
    </row>
    <row r="8" spans="1:1">
      <c r="A8" s="2"/>
    </row>
    <row r="9" spans="1:1">
      <c r="A9" s="2"/>
    </row>
    <row r="10" spans="1:1" ht="26.4" customHeight="1">
      <c r="A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workbookViewId="0">
      <selection activeCell="O3" sqref="O3"/>
    </sheetView>
  </sheetViews>
  <sheetFormatPr defaultRowHeight="14"/>
  <cols>
    <col min="1" max="1" width="10" customWidth="1"/>
    <col min="2" max="2" width="22" customWidth="1"/>
    <col min="3" max="3" width="42" customWidth="1"/>
    <col min="15" max="16" width="42" customWidth="1"/>
  </cols>
  <sheetData>
    <row r="1" spans="1:17" ht="52.75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</row>
    <row r="2" spans="1:17" ht="17.649999999999999" customHeight="1">
      <c r="A2" s="2">
        <v>3</v>
      </c>
      <c r="B2" s="2" t="s">
        <v>24</v>
      </c>
      <c r="C2" s="2" t="s">
        <v>25</v>
      </c>
      <c r="D2" s="2">
        <v>1</v>
      </c>
      <c r="E2" s="2">
        <v>27</v>
      </c>
      <c r="F2" s="2" t="s">
        <v>26</v>
      </c>
      <c r="G2" s="2" t="s">
        <v>27</v>
      </c>
      <c r="H2" s="2">
        <v>1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 t="s">
        <v>28</v>
      </c>
      <c r="Q2" s="2" t="s">
        <v>29</v>
      </c>
    </row>
    <row r="3" spans="1:17" ht="35.15" customHeight="1">
      <c r="A3" s="2">
        <v>42</v>
      </c>
      <c r="B3" s="2" t="s">
        <v>30</v>
      </c>
      <c r="C3" s="2" t="s">
        <v>31</v>
      </c>
      <c r="D3" s="2">
        <v>1</v>
      </c>
      <c r="E3" s="2">
        <v>11</v>
      </c>
      <c r="F3" s="2" t="s">
        <v>32</v>
      </c>
      <c r="G3" s="2" t="s">
        <v>27</v>
      </c>
      <c r="H3" s="2">
        <v>0</v>
      </c>
      <c r="I3" s="2">
        <v>0</v>
      </c>
      <c r="J3" s="2">
        <v>2</v>
      </c>
      <c r="K3" s="2">
        <v>3.3</v>
      </c>
      <c r="L3" s="2">
        <v>37</v>
      </c>
      <c r="M3" s="2">
        <v>5.28</v>
      </c>
      <c r="N3" s="2">
        <v>0.26236024844720501</v>
      </c>
      <c r="O3" s="2">
        <v>3</v>
      </c>
      <c r="P3" s="2" t="s">
        <v>33</v>
      </c>
      <c r="Q3" s="2" t="s">
        <v>34</v>
      </c>
    </row>
    <row r="4" spans="1:17" ht="17.649999999999999" customHeight="1">
      <c r="A4" s="2">
        <v>43</v>
      </c>
      <c r="B4" s="2" t="s">
        <v>35</v>
      </c>
      <c r="C4" s="2" t="s">
        <v>36</v>
      </c>
      <c r="D4" s="2">
        <v>1</v>
      </c>
      <c r="E4" s="2">
        <v>4</v>
      </c>
      <c r="F4" s="2" t="s">
        <v>26</v>
      </c>
      <c r="G4" s="2" t="s">
        <v>27</v>
      </c>
      <c r="H4" s="2">
        <v>1</v>
      </c>
      <c r="I4" s="2">
        <v>0</v>
      </c>
      <c r="J4" s="2">
        <v>1</v>
      </c>
      <c r="K4" s="2">
        <v>3.4</v>
      </c>
      <c r="L4" s="2">
        <v>51</v>
      </c>
      <c r="M4" s="2">
        <v>10.199999999999999</v>
      </c>
      <c r="N4" s="2">
        <v>0.50683229813664599</v>
      </c>
      <c r="O4" s="2">
        <v>3</v>
      </c>
      <c r="P4" s="2" t="s">
        <v>28</v>
      </c>
      <c r="Q4" s="2" t="s">
        <v>29</v>
      </c>
    </row>
    <row r="5" spans="1:17" ht="17.649999999999999" customHeight="1">
      <c r="A5" s="2">
        <v>44</v>
      </c>
      <c r="B5" s="2" t="s">
        <v>37</v>
      </c>
      <c r="C5" s="2" t="s">
        <v>38</v>
      </c>
      <c r="D5" s="2">
        <v>0</v>
      </c>
      <c r="E5" s="2">
        <v>0</v>
      </c>
      <c r="F5" s="2" t="s">
        <v>32</v>
      </c>
      <c r="G5" s="2" t="s">
        <v>39</v>
      </c>
      <c r="H5" s="2">
        <v>0</v>
      </c>
      <c r="I5" s="2">
        <v>1</v>
      </c>
      <c r="J5" s="2">
        <v>1</v>
      </c>
      <c r="K5" s="2">
        <v>3.4</v>
      </c>
      <c r="L5" s="2">
        <v>7</v>
      </c>
      <c r="M5" s="2">
        <v>0</v>
      </c>
      <c r="N5" s="2">
        <v>0</v>
      </c>
      <c r="O5" s="2">
        <v>3</v>
      </c>
      <c r="P5" s="2" t="s">
        <v>28</v>
      </c>
      <c r="Q5" s="2" t="s">
        <v>29</v>
      </c>
    </row>
    <row r="6" spans="1:17" ht="35.15" customHeight="1">
      <c r="A6" s="2">
        <v>45</v>
      </c>
      <c r="B6" s="2" t="s">
        <v>40</v>
      </c>
      <c r="C6" s="2" t="s">
        <v>41</v>
      </c>
      <c r="D6" s="2">
        <v>1</v>
      </c>
      <c r="E6" s="2">
        <v>5</v>
      </c>
      <c r="F6" s="2" t="s">
        <v>32</v>
      </c>
      <c r="G6" s="2" t="s">
        <v>27</v>
      </c>
      <c r="H6" s="2">
        <v>0</v>
      </c>
      <c r="I6" s="2">
        <v>0</v>
      </c>
      <c r="J6" s="2">
        <v>1</v>
      </c>
      <c r="K6" s="2">
        <v>4.4000000000000004</v>
      </c>
      <c r="L6" s="2">
        <v>231</v>
      </c>
      <c r="M6" s="2">
        <v>28.875</v>
      </c>
      <c r="N6" s="2">
        <v>1.4347826086956501</v>
      </c>
      <c r="O6" s="2">
        <v>4</v>
      </c>
      <c r="P6" s="2" t="s">
        <v>42</v>
      </c>
      <c r="Q6" s="2" t="s">
        <v>34</v>
      </c>
    </row>
    <row r="7" spans="1:17" ht="17.649999999999999" customHeight="1">
      <c r="A7" s="2">
        <v>46</v>
      </c>
      <c r="B7" s="2" t="s">
        <v>43</v>
      </c>
      <c r="C7" s="2" t="s">
        <v>41</v>
      </c>
      <c r="D7" s="2">
        <v>1</v>
      </c>
      <c r="E7" s="2">
        <v>5</v>
      </c>
      <c r="F7" s="2" t="s">
        <v>32</v>
      </c>
      <c r="G7" s="2" t="s">
        <v>27</v>
      </c>
      <c r="H7" s="2">
        <v>0</v>
      </c>
      <c r="I7" s="2">
        <v>0</v>
      </c>
      <c r="J7" s="2">
        <v>1</v>
      </c>
      <c r="K7" s="2">
        <v>4.3</v>
      </c>
      <c r="L7" s="2">
        <v>79</v>
      </c>
      <c r="M7" s="2">
        <v>9.875</v>
      </c>
      <c r="N7" s="2">
        <v>0.49068322981366502</v>
      </c>
      <c r="O7" s="2">
        <v>4</v>
      </c>
      <c r="P7" s="2" t="s">
        <v>28</v>
      </c>
      <c r="Q7" s="2" t="s">
        <v>29</v>
      </c>
    </row>
    <row r="8" spans="1:17" ht="17.649999999999999" customHeight="1">
      <c r="A8" s="2">
        <v>47</v>
      </c>
      <c r="B8" s="2" t="s">
        <v>44</v>
      </c>
      <c r="C8" s="2" t="s">
        <v>41</v>
      </c>
      <c r="D8" s="2">
        <v>1</v>
      </c>
      <c r="E8" s="2">
        <v>5</v>
      </c>
      <c r="F8" s="2" t="s">
        <v>32</v>
      </c>
      <c r="G8" s="2" t="s">
        <v>27</v>
      </c>
      <c r="H8" s="2">
        <v>0</v>
      </c>
      <c r="I8" s="2">
        <v>0</v>
      </c>
      <c r="J8" s="2">
        <v>1</v>
      </c>
      <c r="K8" s="2">
        <v>4</v>
      </c>
      <c r="L8" s="2">
        <v>28</v>
      </c>
      <c r="M8" s="2">
        <v>14</v>
      </c>
      <c r="N8" s="2">
        <v>0.69565217391304301</v>
      </c>
      <c r="O8" s="2">
        <v>4</v>
      </c>
      <c r="P8" s="2" t="s">
        <v>28</v>
      </c>
      <c r="Q8" s="2" t="s">
        <v>29</v>
      </c>
    </row>
    <row r="9" spans="1:17" ht="17.649999999999999" customHeight="1">
      <c r="A9" s="2">
        <v>48</v>
      </c>
      <c r="B9" s="2" t="s">
        <v>45</v>
      </c>
      <c r="C9" s="2" t="s">
        <v>46</v>
      </c>
      <c r="D9" s="2">
        <v>1</v>
      </c>
      <c r="E9" s="2">
        <v>22</v>
      </c>
      <c r="F9" s="2" t="s">
        <v>32</v>
      </c>
      <c r="G9" s="2" t="s">
        <v>27</v>
      </c>
      <c r="H9" s="2">
        <v>0</v>
      </c>
      <c r="I9" s="2">
        <v>0</v>
      </c>
      <c r="J9" s="2">
        <v>1</v>
      </c>
      <c r="K9" s="2">
        <v>4.3</v>
      </c>
      <c r="L9" s="2">
        <v>167</v>
      </c>
      <c r="M9" s="2">
        <v>20.8</v>
      </c>
      <c r="N9" s="2">
        <v>1.0335403726708099</v>
      </c>
      <c r="O9" s="2">
        <v>4</v>
      </c>
      <c r="P9" s="2" t="s">
        <v>28</v>
      </c>
      <c r="Q9" s="2" t="s">
        <v>29</v>
      </c>
    </row>
    <row r="10" spans="1:17" ht="35.15" customHeight="1">
      <c r="A10" s="2">
        <v>49</v>
      </c>
      <c r="B10" s="2" t="s">
        <v>47</v>
      </c>
      <c r="C10" s="2" t="s">
        <v>46</v>
      </c>
      <c r="D10" s="2">
        <v>1</v>
      </c>
      <c r="E10" s="2">
        <v>22</v>
      </c>
      <c r="F10" s="2" t="s">
        <v>32</v>
      </c>
      <c r="G10" s="2" t="s">
        <v>27</v>
      </c>
      <c r="H10" s="2">
        <v>0</v>
      </c>
      <c r="I10" s="2">
        <v>0</v>
      </c>
      <c r="J10" s="2">
        <v>3</v>
      </c>
      <c r="K10" s="2">
        <v>4.4000000000000004</v>
      </c>
      <c r="L10" s="2">
        <v>78</v>
      </c>
      <c r="M10" s="2">
        <v>13</v>
      </c>
      <c r="N10" s="2">
        <v>0.64596273291925499</v>
      </c>
      <c r="O10" s="2">
        <v>4</v>
      </c>
      <c r="P10" s="2" t="s">
        <v>48</v>
      </c>
      <c r="Q10" s="2" t="s">
        <v>34</v>
      </c>
    </row>
    <row r="11" spans="1:17" ht="17.649999999999999" customHeight="1">
      <c r="A11" s="2">
        <v>50</v>
      </c>
      <c r="B11" s="2" t="s">
        <v>49</v>
      </c>
      <c r="C11" s="2" t="s">
        <v>46</v>
      </c>
      <c r="D11" s="2">
        <v>1</v>
      </c>
      <c r="E11" s="2">
        <v>22</v>
      </c>
      <c r="F11" s="2" t="s">
        <v>32</v>
      </c>
      <c r="G11" s="2" t="s">
        <v>27</v>
      </c>
      <c r="H11" s="2">
        <v>0</v>
      </c>
      <c r="I11" s="2">
        <v>0</v>
      </c>
      <c r="J11" s="2">
        <v>3</v>
      </c>
      <c r="K11" s="2">
        <v>4.5</v>
      </c>
      <c r="L11" s="2">
        <v>87</v>
      </c>
      <c r="M11" s="2">
        <v>43.5</v>
      </c>
      <c r="N11" s="2">
        <v>2.1614906832298102</v>
      </c>
      <c r="O11" s="2">
        <v>4</v>
      </c>
      <c r="P11" s="2" t="s">
        <v>28</v>
      </c>
      <c r="Q11" s="2" t="s">
        <v>29</v>
      </c>
    </row>
    <row r="12" spans="1:17" ht="35.15" customHeight="1">
      <c r="A12" s="2">
        <v>51</v>
      </c>
      <c r="B12" s="2" t="s">
        <v>50</v>
      </c>
      <c r="C12" s="2" t="s">
        <v>46</v>
      </c>
      <c r="D12" s="2">
        <v>1</v>
      </c>
      <c r="E12" s="2">
        <v>22</v>
      </c>
      <c r="F12" s="2" t="s">
        <v>32</v>
      </c>
      <c r="G12" s="2" t="s">
        <v>27</v>
      </c>
      <c r="H12" s="2">
        <v>0</v>
      </c>
      <c r="I12" s="2">
        <v>0</v>
      </c>
      <c r="J12" s="2">
        <v>3</v>
      </c>
      <c r="K12" s="2">
        <v>4.4000000000000004</v>
      </c>
      <c r="L12" s="2">
        <v>225</v>
      </c>
      <c r="M12" s="2">
        <v>28.125</v>
      </c>
      <c r="N12" s="2">
        <v>1.39751552795031</v>
      </c>
      <c r="O12" s="2">
        <v>4</v>
      </c>
      <c r="P12" s="2" t="s">
        <v>51</v>
      </c>
      <c r="Q12" s="2" t="s">
        <v>34</v>
      </c>
    </row>
    <row r="13" spans="1:17" ht="35.15" customHeight="1">
      <c r="A13" s="2">
        <v>52</v>
      </c>
      <c r="B13" s="2" t="s">
        <v>52</v>
      </c>
      <c r="C13" s="2" t="s">
        <v>46</v>
      </c>
      <c r="D13" s="2">
        <v>1</v>
      </c>
      <c r="E13" s="2">
        <v>22</v>
      </c>
      <c r="F13" s="2" t="s">
        <v>32</v>
      </c>
      <c r="G13" s="2" t="s">
        <v>27</v>
      </c>
      <c r="H13" s="2">
        <v>0</v>
      </c>
      <c r="I13" s="2">
        <v>0</v>
      </c>
      <c r="J13" s="2">
        <v>1</v>
      </c>
      <c r="K13" s="2">
        <v>4.5</v>
      </c>
      <c r="L13" s="2">
        <v>493</v>
      </c>
      <c r="M13" s="2">
        <v>123.25</v>
      </c>
      <c r="N13" s="2">
        <v>6.1242236024844701</v>
      </c>
      <c r="O13" s="2">
        <v>4</v>
      </c>
      <c r="P13" s="2" t="s">
        <v>53</v>
      </c>
      <c r="Q13" s="2" t="s">
        <v>34</v>
      </c>
    </row>
    <row r="14" spans="1:17" ht="17.649999999999999" customHeight="1">
      <c r="A14" s="2">
        <v>53</v>
      </c>
      <c r="B14" s="2" t="s">
        <v>54</v>
      </c>
      <c r="C14" s="2" t="s">
        <v>46</v>
      </c>
      <c r="D14" s="2">
        <v>1</v>
      </c>
      <c r="E14" s="2">
        <v>22</v>
      </c>
      <c r="F14" s="2" t="s">
        <v>32</v>
      </c>
      <c r="G14" s="2" t="s">
        <v>27</v>
      </c>
      <c r="H14" s="2">
        <v>0</v>
      </c>
      <c r="I14" s="2">
        <v>0</v>
      </c>
      <c r="J14" s="2">
        <v>3</v>
      </c>
      <c r="K14" s="2">
        <v>4.3</v>
      </c>
      <c r="L14" s="2">
        <v>360</v>
      </c>
      <c r="M14" s="2">
        <v>45</v>
      </c>
      <c r="N14" s="2">
        <v>2.2360248447204998</v>
      </c>
      <c r="O14" s="2">
        <v>4</v>
      </c>
      <c r="P14" s="2" t="s">
        <v>28</v>
      </c>
      <c r="Q14" s="2" t="s">
        <v>29</v>
      </c>
    </row>
    <row r="15" spans="1:17" ht="35.15" customHeight="1">
      <c r="A15" s="2">
        <v>54</v>
      </c>
      <c r="B15" s="2" t="s">
        <v>55</v>
      </c>
      <c r="C15" s="2" t="s">
        <v>46</v>
      </c>
      <c r="D15" s="2">
        <v>1</v>
      </c>
      <c r="E15" s="2">
        <v>22</v>
      </c>
      <c r="F15" s="2" t="s">
        <v>32</v>
      </c>
      <c r="G15" s="2" t="s">
        <v>27</v>
      </c>
      <c r="H15" s="2">
        <v>0</v>
      </c>
      <c r="I15" s="2">
        <v>0</v>
      </c>
      <c r="J15" s="2">
        <v>3</v>
      </c>
      <c r="K15" s="2">
        <v>4.3</v>
      </c>
      <c r="L15" s="2">
        <v>88</v>
      </c>
      <c r="M15" s="2">
        <v>11</v>
      </c>
      <c r="N15" s="2">
        <v>0.54658385093167705</v>
      </c>
      <c r="O15" s="2">
        <v>4</v>
      </c>
      <c r="P15" s="2" t="s">
        <v>56</v>
      </c>
      <c r="Q15" s="2" t="s">
        <v>34</v>
      </c>
    </row>
    <row r="16" spans="1:17" ht="17.649999999999999" customHeight="1">
      <c r="A16" s="2">
        <v>55</v>
      </c>
      <c r="B16" s="2" t="s">
        <v>57</v>
      </c>
      <c r="C16" s="2" t="s">
        <v>46</v>
      </c>
      <c r="D16" s="2">
        <v>1</v>
      </c>
      <c r="E16" s="2">
        <v>22</v>
      </c>
      <c r="F16" s="2" t="s">
        <v>32</v>
      </c>
      <c r="G16" s="2" t="s">
        <v>27</v>
      </c>
      <c r="H16" s="2">
        <v>0</v>
      </c>
      <c r="I16" s="2">
        <v>0</v>
      </c>
      <c r="J16" s="2">
        <v>3</v>
      </c>
      <c r="K16" s="2">
        <v>4.4000000000000004</v>
      </c>
      <c r="L16" s="2">
        <v>319</v>
      </c>
      <c r="M16" s="2">
        <v>39.799999999999997</v>
      </c>
      <c r="N16" s="2">
        <v>1.9776397515527899</v>
      </c>
      <c r="O16" s="2">
        <v>4</v>
      </c>
      <c r="P16" s="2" t="s">
        <v>28</v>
      </c>
      <c r="Q16" s="2" t="s">
        <v>29</v>
      </c>
    </row>
    <row r="17" spans="1:17" ht="17.649999999999999" customHeight="1">
      <c r="A17" s="2">
        <v>56</v>
      </c>
      <c r="B17" s="2" t="s">
        <v>58</v>
      </c>
      <c r="C17" s="2" t="s">
        <v>46</v>
      </c>
      <c r="D17" s="2">
        <v>1</v>
      </c>
      <c r="E17" s="2">
        <v>22</v>
      </c>
      <c r="F17" s="2" t="s">
        <v>32</v>
      </c>
      <c r="G17" s="2" t="s">
        <v>27</v>
      </c>
      <c r="H17" s="2">
        <v>0</v>
      </c>
      <c r="I17" s="2">
        <v>0</v>
      </c>
      <c r="J17" s="2">
        <v>3</v>
      </c>
      <c r="K17" s="2">
        <v>4.3</v>
      </c>
      <c r="L17" s="2">
        <v>55</v>
      </c>
      <c r="M17" s="2">
        <v>9.16</v>
      </c>
      <c r="N17" s="2">
        <v>0.45515527950310603</v>
      </c>
      <c r="O17" s="2">
        <v>4</v>
      </c>
      <c r="P17" s="2" t="s">
        <v>28</v>
      </c>
      <c r="Q17" s="2" t="s">
        <v>29</v>
      </c>
    </row>
    <row r="18" spans="1:17" ht="17.649999999999999" customHeight="1">
      <c r="A18" s="2">
        <v>57</v>
      </c>
      <c r="B18" s="2" t="s">
        <v>59</v>
      </c>
      <c r="C18" s="2" t="s">
        <v>46</v>
      </c>
      <c r="D18" s="2">
        <v>1</v>
      </c>
      <c r="E18" s="2">
        <v>22</v>
      </c>
      <c r="F18" s="2" t="s">
        <v>32</v>
      </c>
      <c r="G18" s="2" t="s">
        <v>27</v>
      </c>
      <c r="H18" s="2">
        <v>0</v>
      </c>
      <c r="I18" s="2">
        <v>0</v>
      </c>
      <c r="J18" s="2">
        <v>3</v>
      </c>
      <c r="K18" s="2">
        <v>4.2</v>
      </c>
      <c r="L18" s="2">
        <v>36</v>
      </c>
      <c r="M18" s="2">
        <v>4.5</v>
      </c>
      <c r="N18" s="2">
        <v>0.22360248447205</v>
      </c>
      <c r="O18" s="2">
        <v>4</v>
      </c>
      <c r="P18" s="2" t="s">
        <v>28</v>
      </c>
      <c r="Q18" s="2" t="s">
        <v>29</v>
      </c>
    </row>
    <row r="19" spans="1:17" ht="17.649999999999999" customHeight="1">
      <c r="A19" s="2">
        <v>58</v>
      </c>
      <c r="B19" s="2" t="s">
        <v>57</v>
      </c>
      <c r="C19" s="2" t="s">
        <v>46</v>
      </c>
      <c r="D19" s="2">
        <v>1</v>
      </c>
      <c r="E19" s="2">
        <v>22</v>
      </c>
      <c r="F19" s="2" t="s">
        <v>32</v>
      </c>
      <c r="G19" s="2" t="s">
        <v>27</v>
      </c>
      <c r="H19" s="2">
        <v>0</v>
      </c>
      <c r="I19" s="2">
        <v>0</v>
      </c>
      <c r="J19" s="2">
        <v>3</v>
      </c>
      <c r="K19" s="2">
        <v>4.4000000000000004</v>
      </c>
      <c r="L19" s="2">
        <v>326</v>
      </c>
      <c r="M19" s="2">
        <v>40.75</v>
      </c>
      <c r="N19" s="2">
        <v>2.02484472049689</v>
      </c>
      <c r="O19" s="2">
        <v>4</v>
      </c>
      <c r="P19" s="2" t="s">
        <v>28</v>
      </c>
      <c r="Q19" s="2" t="s">
        <v>29</v>
      </c>
    </row>
    <row r="20" spans="1:17" ht="35.15" customHeight="1">
      <c r="A20" s="2">
        <v>59</v>
      </c>
      <c r="B20" s="2" t="s">
        <v>40</v>
      </c>
      <c r="C20" s="2" t="s">
        <v>60</v>
      </c>
      <c r="D20" s="2">
        <v>0</v>
      </c>
      <c r="E20" s="2">
        <v>0</v>
      </c>
      <c r="F20" s="2" t="s">
        <v>26</v>
      </c>
      <c r="G20" s="2" t="s">
        <v>39</v>
      </c>
      <c r="H20" s="2">
        <v>1</v>
      </c>
      <c r="I20" s="2">
        <v>1</v>
      </c>
      <c r="J20" s="2">
        <v>1</v>
      </c>
      <c r="K20" s="2">
        <v>4.5</v>
      </c>
      <c r="L20" s="2">
        <v>1290</v>
      </c>
      <c r="M20" s="2">
        <v>645</v>
      </c>
      <c r="N20" s="2">
        <v>32.049689440993802</v>
      </c>
      <c r="O20" s="2">
        <v>4</v>
      </c>
      <c r="P20" s="2" t="s">
        <v>42</v>
      </c>
      <c r="Q20" s="2" t="s">
        <v>34</v>
      </c>
    </row>
    <row r="21" spans="1:17" ht="17.649999999999999" customHeight="1">
      <c r="A21" s="2">
        <v>60</v>
      </c>
      <c r="B21" s="2" t="s">
        <v>61</v>
      </c>
      <c r="C21" s="2" t="s">
        <v>62</v>
      </c>
      <c r="D21" s="2">
        <v>0</v>
      </c>
      <c r="E21" s="2">
        <v>1</v>
      </c>
      <c r="F21" s="2" t="s">
        <v>26</v>
      </c>
      <c r="G21" s="2" t="s">
        <v>39</v>
      </c>
      <c r="H21" s="2">
        <v>1</v>
      </c>
      <c r="I21" s="2">
        <v>1</v>
      </c>
      <c r="J21" s="2">
        <v>1</v>
      </c>
      <c r="K21" s="2">
        <v>4.5</v>
      </c>
      <c r="L21" s="2">
        <v>154</v>
      </c>
      <c r="M21" s="2">
        <v>30.8</v>
      </c>
      <c r="N21" s="2">
        <v>1.5304347826086999</v>
      </c>
      <c r="O21" s="2">
        <v>4</v>
      </c>
      <c r="P21" s="2" t="s">
        <v>28</v>
      </c>
      <c r="Q21" s="2" t="s">
        <v>29</v>
      </c>
    </row>
    <row r="22" spans="1:17" ht="17.649999999999999" customHeight="1">
      <c r="A22" s="2">
        <v>61</v>
      </c>
      <c r="B22" s="2" t="s">
        <v>63</v>
      </c>
      <c r="C22" s="2" t="s">
        <v>64</v>
      </c>
      <c r="D22" s="2">
        <v>0</v>
      </c>
      <c r="E22" s="2">
        <v>0</v>
      </c>
      <c r="F22" s="2" t="s">
        <v>26</v>
      </c>
      <c r="G22" s="2" t="s">
        <v>39</v>
      </c>
      <c r="H22" s="2">
        <v>1</v>
      </c>
      <c r="I22" s="2">
        <v>1</v>
      </c>
      <c r="J22" s="2">
        <v>1</v>
      </c>
      <c r="K22" s="2">
        <v>4.2</v>
      </c>
      <c r="L22" s="2">
        <v>10</v>
      </c>
      <c r="M22" s="2">
        <v>1.4</v>
      </c>
      <c r="N22" s="2">
        <v>6.9565217391304293E-2</v>
      </c>
      <c r="O22" s="2">
        <v>4</v>
      </c>
      <c r="P22" s="2" t="s">
        <v>28</v>
      </c>
      <c r="Q22" s="2" t="s">
        <v>29</v>
      </c>
    </row>
    <row r="23" spans="1:17" ht="17.649999999999999" customHeight="1">
      <c r="A23" s="2">
        <v>62</v>
      </c>
      <c r="B23" s="2" t="s">
        <v>65</v>
      </c>
      <c r="C23" s="2" t="s">
        <v>66</v>
      </c>
      <c r="D23" s="2">
        <v>0</v>
      </c>
      <c r="E23" s="2">
        <v>0</v>
      </c>
      <c r="F23" s="2" t="s">
        <v>67</v>
      </c>
      <c r="G23" s="2" t="s">
        <v>39</v>
      </c>
      <c r="H23" s="2">
        <v>2</v>
      </c>
      <c r="I23" s="2">
        <v>1</v>
      </c>
      <c r="J23" s="2">
        <v>1</v>
      </c>
      <c r="K23" s="2">
        <v>4.4000000000000004</v>
      </c>
      <c r="L23" s="2">
        <v>1141</v>
      </c>
      <c r="M23" s="2">
        <v>380.3</v>
      </c>
      <c r="N23" s="2">
        <v>18.8968944099379</v>
      </c>
      <c r="O23" s="2">
        <v>4</v>
      </c>
      <c r="P23" s="2" t="s">
        <v>28</v>
      </c>
      <c r="Q23" s="2" t="s">
        <v>29</v>
      </c>
    </row>
    <row r="24" spans="1:17" ht="17.649999999999999" customHeight="1">
      <c r="A24" s="2">
        <v>63</v>
      </c>
      <c r="B24" s="2" t="s">
        <v>68</v>
      </c>
      <c r="C24" s="2" t="s">
        <v>69</v>
      </c>
      <c r="D24" s="2">
        <v>1</v>
      </c>
      <c r="E24" s="2">
        <v>3</v>
      </c>
      <c r="F24" s="2" t="s">
        <v>32</v>
      </c>
      <c r="G24" s="2" t="s">
        <v>39</v>
      </c>
      <c r="H24" s="2">
        <v>0</v>
      </c>
      <c r="I24" s="2">
        <v>1</v>
      </c>
      <c r="J24" s="2">
        <v>1</v>
      </c>
      <c r="K24" s="2">
        <v>4.4000000000000004</v>
      </c>
      <c r="L24" s="2">
        <v>326</v>
      </c>
      <c r="M24" s="2">
        <v>40.75</v>
      </c>
      <c r="N24" s="2">
        <v>2.02484472049689</v>
      </c>
      <c r="O24" s="2">
        <v>4</v>
      </c>
      <c r="P24" s="2" t="s">
        <v>28</v>
      </c>
      <c r="Q24" s="2" t="s">
        <v>29</v>
      </c>
    </row>
    <row r="25" spans="1:17" ht="35.15" customHeight="1">
      <c r="A25" s="2">
        <v>64</v>
      </c>
      <c r="B25" s="2" t="s">
        <v>70</v>
      </c>
      <c r="C25" s="2" t="s">
        <v>69</v>
      </c>
      <c r="D25" s="2">
        <v>1</v>
      </c>
      <c r="E25" s="2">
        <v>3</v>
      </c>
      <c r="F25" s="2" t="s">
        <v>32</v>
      </c>
      <c r="G25" s="2" t="s">
        <v>39</v>
      </c>
      <c r="H25" s="2">
        <v>0</v>
      </c>
      <c r="I25" s="2">
        <v>1</v>
      </c>
      <c r="J25" s="2">
        <v>1</v>
      </c>
      <c r="K25" s="2">
        <v>4.0999999999999996</v>
      </c>
      <c r="L25" s="2">
        <v>66</v>
      </c>
      <c r="M25" s="2">
        <v>11</v>
      </c>
      <c r="N25" s="2">
        <v>0.54658385093167705</v>
      </c>
      <c r="O25" s="2">
        <v>4</v>
      </c>
      <c r="P25" s="2" t="s">
        <v>71</v>
      </c>
      <c r="Q25" s="2" t="s">
        <v>34</v>
      </c>
    </row>
    <row r="26" spans="1:17" ht="17.649999999999999" customHeight="1">
      <c r="A26" s="2">
        <v>65</v>
      </c>
      <c r="B26" s="2" t="s">
        <v>72</v>
      </c>
      <c r="C26" s="2" t="s">
        <v>73</v>
      </c>
      <c r="D26" s="2">
        <v>0</v>
      </c>
      <c r="E26" s="2">
        <v>0</v>
      </c>
      <c r="F26" s="2" t="s">
        <v>67</v>
      </c>
      <c r="G26" s="2" t="s">
        <v>39</v>
      </c>
      <c r="H26" s="2">
        <v>2</v>
      </c>
      <c r="I26" s="2">
        <v>1</v>
      </c>
      <c r="J26" s="2">
        <v>1</v>
      </c>
      <c r="K26" s="2">
        <v>4.4000000000000004</v>
      </c>
      <c r="L26" s="2">
        <v>118</v>
      </c>
      <c r="M26" s="2">
        <v>14.75</v>
      </c>
      <c r="N26" s="2">
        <v>0.73291925465838503</v>
      </c>
      <c r="O26" s="2">
        <v>4</v>
      </c>
      <c r="P26" s="2" t="s">
        <v>28</v>
      </c>
      <c r="Q26" s="2" t="s">
        <v>29</v>
      </c>
    </row>
    <row r="27" spans="1:17" ht="17.649999999999999" customHeight="1">
      <c r="A27" s="2">
        <v>66</v>
      </c>
      <c r="B27" s="2" t="s">
        <v>74</v>
      </c>
      <c r="C27" s="2" t="s">
        <v>75</v>
      </c>
      <c r="D27" s="2">
        <v>0</v>
      </c>
      <c r="E27" s="2">
        <v>0</v>
      </c>
      <c r="F27" s="2" t="s">
        <v>26</v>
      </c>
      <c r="G27" s="2" t="s">
        <v>39</v>
      </c>
      <c r="H27" s="2">
        <v>1</v>
      </c>
      <c r="I27" s="2">
        <v>1</v>
      </c>
      <c r="J27" s="2">
        <v>1</v>
      </c>
      <c r="K27" s="2">
        <v>4.4000000000000004</v>
      </c>
      <c r="L27" s="2">
        <v>47</v>
      </c>
      <c r="M27" s="2">
        <v>15.6</v>
      </c>
      <c r="N27" s="2">
        <v>0.77515527950310603</v>
      </c>
      <c r="O27" s="2">
        <v>4</v>
      </c>
      <c r="P27" s="2" t="s">
        <v>28</v>
      </c>
      <c r="Q27" s="2" t="s">
        <v>29</v>
      </c>
    </row>
    <row r="28" spans="1:17" ht="17.649999999999999" customHeight="1">
      <c r="A28" s="2">
        <v>67</v>
      </c>
      <c r="B28" s="2" t="s">
        <v>76</v>
      </c>
      <c r="C28" s="2" t="s">
        <v>77</v>
      </c>
      <c r="D28" s="2">
        <v>0</v>
      </c>
      <c r="E28" s="2">
        <v>0</v>
      </c>
      <c r="F28" s="2" t="s">
        <v>26</v>
      </c>
      <c r="G28" s="2" t="s">
        <v>39</v>
      </c>
      <c r="H28" s="2">
        <v>1</v>
      </c>
      <c r="I28" s="2">
        <v>1</v>
      </c>
      <c r="J28" s="2">
        <v>1</v>
      </c>
      <c r="K28" s="2">
        <v>4.5</v>
      </c>
      <c r="L28" s="2">
        <v>115</v>
      </c>
      <c r="M28" s="2">
        <v>28.75</v>
      </c>
      <c r="N28" s="2">
        <v>1.4285714285714299</v>
      </c>
      <c r="O28" s="2">
        <v>4</v>
      </c>
      <c r="P28" s="2" t="s">
        <v>28</v>
      </c>
      <c r="Q28" s="2" t="s">
        <v>29</v>
      </c>
    </row>
    <row r="29" spans="1:17" ht="35.15" customHeight="1">
      <c r="A29" s="2">
        <v>68</v>
      </c>
      <c r="B29" s="2" t="s">
        <v>78</v>
      </c>
      <c r="C29" s="2" t="s">
        <v>79</v>
      </c>
      <c r="D29" s="2">
        <v>0</v>
      </c>
      <c r="E29" s="2">
        <v>0</v>
      </c>
      <c r="F29" s="2" t="s">
        <v>32</v>
      </c>
      <c r="G29" s="2" t="s">
        <v>39</v>
      </c>
      <c r="H29" s="2">
        <v>0</v>
      </c>
      <c r="I29" s="2">
        <v>1</v>
      </c>
      <c r="J29" s="2">
        <v>1</v>
      </c>
      <c r="K29" s="2">
        <v>4.2</v>
      </c>
      <c r="L29" s="2">
        <v>17</v>
      </c>
      <c r="M29" s="2">
        <v>2.125</v>
      </c>
      <c r="N29" s="2">
        <v>0.105590062111801</v>
      </c>
      <c r="O29" s="2">
        <v>4</v>
      </c>
      <c r="P29" s="2" t="s">
        <v>80</v>
      </c>
      <c r="Q29" s="2" t="s">
        <v>34</v>
      </c>
    </row>
    <row r="30" spans="1:17" ht="17.649999999999999" customHeight="1">
      <c r="A30" s="2">
        <v>69</v>
      </c>
      <c r="B30" s="2" t="s">
        <v>81</v>
      </c>
      <c r="C30" s="2" t="s">
        <v>82</v>
      </c>
      <c r="D30" s="2">
        <v>0</v>
      </c>
      <c r="E30" s="2">
        <v>0</v>
      </c>
      <c r="F30" s="2" t="s">
        <v>32</v>
      </c>
      <c r="G30" s="2" t="s">
        <v>39</v>
      </c>
      <c r="H30" s="2">
        <v>0</v>
      </c>
      <c r="I30" s="2">
        <v>1</v>
      </c>
      <c r="J30" s="2">
        <v>1</v>
      </c>
      <c r="K30" s="2">
        <v>4.4000000000000004</v>
      </c>
      <c r="L30" s="2">
        <v>30</v>
      </c>
      <c r="M30" s="2">
        <v>15</v>
      </c>
      <c r="N30" s="2">
        <v>0.74534161490683204</v>
      </c>
      <c r="O30" s="2">
        <v>4</v>
      </c>
      <c r="P30" s="2" t="s">
        <v>28</v>
      </c>
      <c r="Q30" s="2" t="s">
        <v>29</v>
      </c>
    </row>
    <row r="31" spans="1:17" ht="17.649999999999999" customHeight="1">
      <c r="A31" s="2">
        <v>70</v>
      </c>
      <c r="B31" s="2" t="s">
        <v>83</v>
      </c>
      <c r="C31" s="2" t="s">
        <v>84</v>
      </c>
      <c r="D31" s="2">
        <v>0</v>
      </c>
      <c r="E31" s="2">
        <v>0</v>
      </c>
      <c r="F31" s="2" t="s">
        <v>32</v>
      </c>
      <c r="G31" s="2" t="s">
        <v>39</v>
      </c>
      <c r="H31" s="2">
        <v>0</v>
      </c>
      <c r="I31" s="2">
        <v>1</v>
      </c>
      <c r="J31" s="2">
        <v>4</v>
      </c>
      <c r="K31" s="2">
        <v>4.5</v>
      </c>
      <c r="L31" s="2">
        <v>54</v>
      </c>
      <c r="M31" s="2">
        <v>9</v>
      </c>
      <c r="N31" s="2">
        <v>0.447204968944099</v>
      </c>
      <c r="O31" s="2">
        <v>4</v>
      </c>
      <c r="P31" s="2" t="s">
        <v>28</v>
      </c>
      <c r="Q31" s="2" t="s">
        <v>29</v>
      </c>
    </row>
    <row r="32" spans="1:17" ht="35.15" customHeight="1">
      <c r="A32" s="2">
        <v>71</v>
      </c>
      <c r="B32" s="2" t="s">
        <v>52</v>
      </c>
      <c r="C32" s="2" t="s">
        <v>85</v>
      </c>
      <c r="D32" s="2">
        <v>1</v>
      </c>
      <c r="E32" s="2">
        <v>4</v>
      </c>
      <c r="F32" s="2" t="s">
        <v>26</v>
      </c>
      <c r="G32" s="2" t="s">
        <v>27</v>
      </c>
      <c r="H32" s="2">
        <v>1</v>
      </c>
      <c r="I32" s="2">
        <v>0</v>
      </c>
      <c r="J32" s="2">
        <v>2</v>
      </c>
      <c r="K32" s="2">
        <v>4.3</v>
      </c>
      <c r="L32" s="2">
        <v>204</v>
      </c>
      <c r="M32" s="2">
        <v>51</v>
      </c>
      <c r="N32" s="2">
        <v>2.5341614906832302</v>
      </c>
      <c r="O32" s="2">
        <v>4</v>
      </c>
      <c r="P32" s="2" t="s">
        <v>53</v>
      </c>
      <c r="Q32" s="2" t="s">
        <v>34</v>
      </c>
    </row>
    <row r="33" spans="1:17" ht="17.649999999999999" customHeight="1">
      <c r="A33" s="2">
        <v>72</v>
      </c>
      <c r="B33" s="2" t="s">
        <v>57</v>
      </c>
      <c r="C33" s="2" t="s">
        <v>86</v>
      </c>
      <c r="D33" s="2">
        <v>1</v>
      </c>
      <c r="E33" s="2">
        <v>33</v>
      </c>
      <c r="F33" s="2" t="s">
        <v>26</v>
      </c>
      <c r="G33" s="2" t="s">
        <v>39</v>
      </c>
      <c r="H33" s="2">
        <v>1</v>
      </c>
      <c r="I33" s="2">
        <v>1</v>
      </c>
      <c r="J33" s="2">
        <v>1</v>
      </c>
      <c r="K33" s="2">
        <v>4.5</v>
      </c>
      <c r="L33" s="2">
        <v>431</v>
      </c>
      <c r="M33" s="2">
        <v>53.875</v>
      </c>
      <c r="N33" s="2">
        <v>2.6770186335403698</v>
      </c>
      <c r="O33" s="2">
        <v>4</v>
      </c>
      <c r="P33" s="2" t="s">
        <v>28</v>
      </c>
      <c r="Q33" s="2" t="s">
        <v>29</v>
      </c>
    </row>
    <row r="34" spans="1:17" ht="35.15" customHeight="1">
      <c r="A34" s="2">
        <v>73</v>
      </c>
      <c r="B34" s="2" t="s">
        <v>50</v>
      </c>
      <c r="C34" s="2" t="s">
        <v>85</v>
      </c>
      <c r="D34" s="2">
        <v>1</v>
      </c>
      <c r="E34" s="2">
        <v>4</v>
      </c>
      <c r="F34" s="2" t="s">
        <v>26</v>
      </c>
      <c r="G34" s="2" t="s">
        <v>27</v>
      </c>
      <c r="H34" s="2">
        <v>1</v>
      </c>
      <c r="I34" s="2">
        <v>0</v>
      </c>
      <c r="J34" s="2">
        <v>2</v>
      </c>
      <c r="K34" s="2">
        <v>4.2</v>
      </c>
      <c r="L34" s="2">
        <v>160</v>
      </c>
      <c r="M34" s="2">
        <v>22.8</v>
      </c>
      <c r="N34" s="2">
        <v>1.1329192546583899</v>
      </c>
      <c r="O34" s="2">
        <v>4</v>
      </c>
      <c r="P34" s="2" t="s">
        <v>51</v>
      </c>
      <c r="Q34" s="2" t="s">
        <v>34</v>
      </c>
    </row>
    <row r="35" spans="1:17" ht="35.15" customHeight="1">
      <c r="A35" s="2">
        <v>74</v>
      </c>
      <c r="B35" s="2" t="s">
        <v>87</v>
      </c>
      <c r="C35" s="2" t="s">
        <v>86</v>
      </c>
      <c r="D35" s="2">
        <v>1</v>
      </c>
      <c r="E35" s="2">
        <v>33</v>
      </c>
      <c r="F35" s="2" t="s">
        <v>26</v>
      </c>
      <c r="G35" s="2" t="s">
        <v>27</v>
      </c>
      <c r="H35" s="2">
        <v>1</v>
      </c>
      <c r="I35" s="2">
        <v>0</v>
      </c>
      <c r="J35" s="2">
        <v>2</v>
      </c>
      <c r="K35" s="2">
        <v>3.8</v>
      </c>
      <c r="L35" s="2">
        <v>89</v>
      </c>
      <c r="M35" s="2">
        <v>11.125</v>
      </c>
      <c r="N35" s="2">
        <v>0.552795031055901</v>
      </c>
      <c r="O35" s="2">
        <v>4</v>
      </c>
      <c r="P35" s="2" t="s">
        <v>88</v>
      </c>
      <c r="Q35" s="2" t="s">
        <v>34</v>
      </c>
    </row>
    <row r="36" spans="1:17" ht="17.649999999999999" customHeight="1">
      <c r="A36" s="2">
        <v>75</v>
      </c>
      <c r="B36" s="2" t="s">
        <v>89</v>
      </c>
      <c r="C36" s="2" t="s">
        <v>86</v>
      </c>
      <c r="D36" s="2">
        <v>1</v>
      </c>
      <c r="E36" s="2">
        <v>33</v>
      </c>
      <c r="F36" s="2" t="s">
        <v>26</v>
      </c>
      <c r="G36" s="2" t="s">
        <v>27</v>
      </c>
      <c r="H36" s="2">
        <v>1</v>
      </c>
      <c r="I36" s="2">
        <v>0</v>
      </c>
      <c r="J36" s="2">
        <v>3</v>
      </c>
      <c r="K36" s="2">
        <v>4.5</v>
      </c>
      <c r="L36" s="2">
        <v>104</v>
      </c>
      <c r="M36" s="2">
        <v>34.6</v>
      </c>
      <c r="N36" s="2">
        <v>1.7192546583850901</v>
      </c>
      <c r="O36" s="2">
        <v>4</v>
      </c>
      <c r="P36" s="2" t="s">
        <v>28</v>
      </c>
      <c r="Q36" s="2" t="s">
        <v>29</v>
      </c>
    </row>
    <row r="37" spans="1:17" ht="17.649999999999999" customHeight="1">
      <c r="A37" s="2">
        <v>76</v>
      </c>
      <c r="B37" s="2" t="s">
        <v>90</v>
      </c>
      <c r="C37" s="2" t="s">
        <v>86</v>
      </c>
      <c r="D37" s="2">
        <v>1</v>
      </c>
      <c r="E37" s="2">
        <v>33</v>
      </c>
      <c r="F37" s="2" t="s">
        <v>26</v>
      </c>
      <c r="G37" s="2" t="s">
        <v>27</v>
      </c>
      <c r="H37" s="2">
        <v>1</v>
      </c>
      <c r="I37" s="2">
        <v>0</v>
      </c>
      <c r="J37" s="2">
        <v>2</v>
      </c>
      <c r="K37" s="2">
        <v>4.4000000000000004</v>
      </c>
      <c r="L37" s="2">
        <v>10</v>
      </c>
      <c r="M37" s="2">
        <v>5</v>
      </c>
      <c r="N37" s="2">
        <v>0.24844720496894401</v>
      </c>
      <c r="O37" s="2">
        <v>4</v>
      </c>
      <c r="P37" s="2" t="s">
        <v>28</v>
      </c>
      <c r="Q37" s="2" t="s">
        <v>29</v>
      </c>
    </row>
    <row r="38" spans="1:17" ht="17.649999999999999" customHeight="1">
      <c r="A38" s="2">
        <v>77</v>
      </c>
      <c r="B38" s="2" t="s">
        <v>91</v>
      </c>
      <c r="C38" s="2" t="s">
        <v>86</v>
      </c>
      <c r="D38" s="2">
        <v>1</v>
      </c>
      <c r="E38" s="2">
        <v>33</v>
      </c>
      <c r="F38" s="2" t="s">
        <v>26</v>
      </c>
      <c r="G38" s="2" t="s">
        <v>27</v>
      </c>
      <c r="H38" s="2">
        <v>1</v>
      </c>
      <c r="I38" s="2">
        <v>0</v>
      </c>
      <c r="J38" s="2">
        <v>3</v>
      </c>
      <c r="K38" s="2">
        <v>4.2</v>
      </c>
      <c r="L38" s="2">
        <v>72</v>
      </c>
      <c r="M38" s="2">
        <v>24</v>
      </c>
      <c r="N38" s="2">
        <v>1.1925465838509299</v>
      </c>
      <c r="O38" s="2">
        <v>4</v>
      </c>
      <c r="P38" s="2" t="s">
        <v>28</v>
      </c>
      <c r="Q38" s="2" t="s">
        <v>29</v>
      </c>
    </row>
    <row r="39" spans="1:17" ht="35.15" customHeight="1">
      <c r="A39" s="2">
        <v>78</v>
      </c>
      <c r="B39" s="2" t="s">
        <v>55</v>
      </c>
      <c r="C39" s="2" t="s">
        <v>86</v>
      </c>
      <c r="D39" s="2">
        <v>1</v>
      </c>
      <c r="E39" s="2">
        <v>33</v>
      </c>
      <c r="F39" s="2" t="s">
        <v>26</v>
      </c>
      <c r="G39" s="2" t="s">
        <v>27</v>
      </c>
      <c r="H39" s="2">
        <v>1</v>
      </c>
      <c r="I39" s="2">
        <v>0</v>
      </c>
      <c r="J39" s="2">
        <v>2</v>
      </c>
      <c r="K39" s="2">
        <v>4.3</v>
      </c>
      <c r="L39" s="2">
        <v>172</v>
      </c>
      <c r="M39" s="2">
        <v>19.100000000000001</v>
      </c>
      <c r="N39" s="2">
        <v>0.94906832298136701</v>
      </c>
      <c r="O39" s="2">
        <v>4</v>
      </c>
      <c r="P39" s="2" t="s">
        <v>56</v>
      </c>
      <c r="Q39" s="2" t="s">
        <v>34</v>
      </c>
    </row>
    <row r="40" spans="1:17" ht="17.649999999999999" customHeight="1">
      <c r="A40" s="2">
        <v>79</v>
      </c>
      <c r="B40" s="2" t="s">
        <v>92</v>
      </c>
      <c r="C40" s="2" t="s">
        <v>86</v>
      </c>
      <c r="D40" s="2">
        <v>1</v>
      </c>
      <c r="E40" s="2">
        <v>33</v>
      </c>
      <c r="F40" s="2" t="s">
        <v>26</v>
      </c>
      <c r="G40" s="2" t="s">
        <v>27</v>
      </c>
      <c r="H40" s="2">
        <v>1</v>
      </c>
      <c r="I40" s="2">
        <v>0</v>
      </c>
      <c r="J40" s="2">
        <v>2</v>
      </c>
      <c r="K40" s="2">
        <v>4.0999999999999996</v>
      </c>
      <c r="L40" s="2">
        <v>44</v>
      </c>
      <c r="M40" s="2">
        <v>11</v>
      </c>
      <c r="N40" s="2">
        <v>0.54658385093167705</v>
      </c>
      <c r="O40" s="2">
        <v>4</v>
      </c>
      <c r="P40" s="2" t="s">
        <v>28</v>
      </c>
      <c r="Q40" s="2" t="s">
        <v>29</v>
      </c>
    </row>
    <row r="41" spans="1:17" ht="17.649999999999999" customHeight="1">
      <c r="A41" s="2">
        <v>80</v>
      </c>
      <c r="B41" s="2" t="s">
        <v>93</v>
      </c>
      <c r="C41" s="2" t="s">
        <v>86</v>
      </c>
      <c r="D41" s="2">
        <v>1</v>
      </c>
      <c r="E41" s="2">
        <v>33</v>
      </c>
      <c r="F41" s="2" t="s">
        <v>26</v>
      </c>
      <c r="G41" s="2" t="s">
        <v>27</v>
      </c>
      <c r="H41" s="2">
        <v>1</v>
      </c>
      <c r="I41" s="2">
        <v>0</v>
      </c>
      <c r="J41" s="2">
        <v>1</v>
      </c>
      <c r="K41" s="2">
        <v>4.4000000000000004</v>
      </c>
      <c r="L41" s="2">
        <v>154</v>
      </c>
      <c r="M41" s="2">
        <v>51.3</v>
      </c>
      <c r="N41" s="2">
        <v>2.5490683229813702</v>
      </c>
      <c r="O41" s="2">
        <v>4</v>
      </c>
      <c r="P41" s="2" t="s">
        <v>28</v>
      </c>
      <c r="Q41" s="2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1"/>
  <sheetViews>
    <sheetView workbookViewId="0"/>
  </sheetViews>
  <sheetFormatPr defaultRowHeight="14"/>
  <cols>
    <col min="1" max="1" width="10" customWidth="1"/>
    <col min="2" max="2" width="20" customWidth="1"/>
    <col min="3" max="3" width="42" customWidth="1"/>
    <col min="4" max="4" width="50" customWidth="1"/>
    <col min="5" max="5" width="10" customWidth="1"/>
    <col min="6" max="11" width="16" customWidth="1"/>
    <col min="12" max="12" width="70" customWidth="1"/>
    <col min="13" max="13" width="55" customWidth="1"/>
  </cols>
  <sheetData>
    <row r="1" spans="1:13" ht="17.649999999999999" customHeight="1">
      <c r="A1" s="3" t="s">
        <v>7</v>
      </c>
      <c r="B1" s="3" t="s">
        <v>94</v>
      </c>
      <c r="C1" s="3" t="s">
        <v>95</v>
      </c>
      <c r="D1" s="3" t="s">
        <v>96</v>
      </c>
      <c r="E1" s="3" t="s">
        <v>97</v>
      </c>
      <c r="F1" s="4" t="s">
        <v>98</v>
      </c>
      <c r="G1" s="4" t="s">
        <v>99</v>
      </c>
      <c r="H1" s="4" t="s">
        <v>100</v>
      </c>
      <c r="I1" s="4" t="s">
        <v>101</v>
      </c>
      <c r="J1" s="4" t="s">
        <v>102</v>
      </c>
      <c r="K1" s="4" t="s">
        <v>103</v>
      </c>
      <c r="L1" s="3" t="s">
        <v>104</v>
      </c>
      <c r="M1" s="3" t="s">
        <v>105</v>
      </c>
    </row>
    <row r="2" spans="1:13" ht="10" customHeight="1">
      <c r="A2">
        <v>3</v>
      </c>
      <c r="B2" t="s">
        <v>24</v>
      </c>
      <c r="C2" t="s">
        <v>25</v>
      </c>
      <c r="D2" t="s">
        <v>28</v>
      </c>
      <c r="E2">
        <v>2023</v>
      </c>
      <c r="K2" t="str">
        <f t="shared" ref="K2:K33" si="0">IFERROR(IF(H2&gt;0,(H2-I2)/H2*100,IF(I2&gt;0,-100,"")),"")</f>
        <v/>
      </c>
      <c r="L2" t="s">
        <v>28</v>
      </c>
      <c r="M2" t="s">
        <v>106</v>
      </c>
    </row>
    <row r="3" spans="1:13" ht="10" customHeight="1">
      <c r="A3">
        <v>3</v>
      </c>
      <c r="B3" t="s">
        <v>24</v>
      </c>
      <c r="C3" t="s">
        <v>25</v>
      </c>
      <c r="D3" t="s">
        <v>28</v>
      </c>
      <c r="E3">
        <v>2024</v>
      </c>
      <c r="K3" t="str">
        <f t="shared" si="0"/>
        <v/>
      </c>
      <c r="L3" t="s">
        <v>28</v>
      </c>
      <c r="M3" t="s">
        <v>106</v>
      </c>
    </row>
    <row r="4" spans="1:13" ht="10" customHeight="1">
      <c r="A4">
        <v>3</v>
      </c>
      <c r="B4" t="s">
        <v>24</v>
      </c>
      <c r="C4" t="s">
        <v>25</v>
      </c>
      <c r="D4" t="s">
        <v>28</v>
      </c>
      <c r="E4">
        <v>2025</v>
      </c>
      <c r="K4" t="str">
        <f t="shared" si="0"/>
        <v/>
      </c>
      <c r="L4" t="s">
        <v>28</v>
      </c>
      <c r="M4" t="s">
        <v>106</v>
      </c>
    </row>
    <row r="5" spans="1:13" ht="20" customHeight="1">
      <c r="A5">
        <v>42</v>
      </c>
      <c r="B5" t="s">
        <v>30</v>
      </c>
      <c r="C5" t="s">
        <v>31</v>
      </c>
      <c r="D5" t="s">
        <v>33</v>
      </c>
      <c r="E5">
        <v>2023</v>
      </c>
      <c r="F5">
        <v>1590</v>
      </c>
      <c r="K5" t="str">
        <f t="shared" si="0"/>
        <v/>
      </c>
      <c r="L5" t="s">
        <v>107</v>
      </c>
      <c r="M5" t="s">
        <v>108</v>
      </c>
    </row>
    <row r="6" spans="1:13" ht="20" customHeight="1">
      <c r="A6">
        <v>42</v>
      </c>
      <c r="B6" t="s">
        <v>30</v>
      </c>
      <c r="C6" t="s">
        <v>31</v>
      </c>
      <c r="D6" t="s">
        <v>33</v>
      </c>
      <c r="E6">
        <v>2024</v>
      </c>
      <c r="F6">
        <v>2021.3</v>
      </c>
      <c r="H6">
        <v>21.7</v>
      </c>
      <c r="I6">
        <v>0</v>
      </c>
      <c r="K6">
        <f t="shared" si="0"/>
        <v>100</v>
      </c>
      <c r="L6" t="s">
        <v>107</v>
      </c>
      <c r="M6" t="s">
        <v>109</v>
      </c>
    </row>
    <row r="7" spans="1:13" ht="20" customHeight="1">
      <c r="A7">
        <v>42</v>
      </c>
      <c r="B7" t="s">
        <v>30</v>
      </c>
      <c r="C7" t="s">
        <v>31</v>
      </c>
      <c r="D7" t="s">
        <v>33</v>
      </c>
      <c r="E7">
        <v>2025</v>
      </c>
      <c r="F7">
        <v>1900</v>
      </c>
      <c r="H7">
        <v>0</v>
      </c>
      <c r="I7">
        <v>2.7</v>
      </c>
      <c r="J7">
        <v>323</v>
      </c>
      <c r="K7">
        <f t="shared" si="0"/>
        <v>-100</v>
      </c>
      <c r="L7" t="s">
        <v>107</v>
      </c>
      <c r="M7" t="s">
        <v>110</v>
      </c>
    </row>
    <row r="8" spans="1:13" ht="10" customHeight="1">
      <c r="A8">
        <v>43</v>
      </c>
      <c r="B8" t="s">
        <v>35</v>
      </c>
      <c r="C8" t="s">
        <v>36</v>
      </c>
      <c r="D8" t="s">
        <v>28</v>
      </c>
      <c r="E8">
        <v>2023</v>
      </c>
      <c r="K8" t="str">
        <f t="shared" si="0"/>
        <v/>
      </c>
      <c r="L8" t="s">
        <v>28</v>
      </c>
      <c r="M8" t="s">
        <v>106</v>
      </c>
    </row>
    <row r="9" spans="1:13" ht="10" customHeight="1">
      <c r="A9">
        <v>43</v>
      </c>
      <c r="B9" t="s">
        <v>35</v>
      </c>
      <c r="C9" t="s">
        <v>36</v>
      </c>
      <c r="D9" t="s">
        <v>28</v>
      </c>
      <c r="E9">
        <v>2024</v>
      </c>
      <c r="K9" t="str">
        <f t="shared" si="0"/>
        <v/>
      </c>
      <c r="L9" t="s">
        <v>28</v>
      </c>
      <c r="M9" t="s">
        <v>106</v>
      </c>
    </row>
    <row r="10" spans="1:13" ht="10" customHeight="1">
      <c r="A10">
        <v>43</v>
      </c>
      <c r="B10" t="s">
        <v>35</v>
      </c>
      <c r="C10" t="s">
        <v>36</v>
      </c>
      <c r="D10" t="s">
        <v>28</v>
      </c>
      <c r="E10">
        <v>2025</v>
      </c>
      <c r="K10" t="str">
        <f t="shared" si="0"/>
        <v/>
      </c>
      <c r="L10" t="s">
        <v>28</v>
      </c>
      <c r="M10" t="s">
        <v>106</v>
      </c>
    </row>
    <row r="11" spans="1:13" ht="10" customHeight="1">
      <c r="A11">
        <v>44</v>
      </c>
      <c r="B11" t="s">
        <v>37</v>
      </c>
      <c r="C11" t="s">
        <v>38</v>
      </c>
      <c r="D11" t="s">
        <v>28</v>
      </c>
      <c r="E11">
        <v>2023</v>
      </c>
      <c r="K11" t="str">
        <f t="shared" si="0"/>
        <v/>
      </c>
      <c r="L11" t="s">
        <v>28</v>
      </c>
      <c r="M11" t="s">
        <v>106</v>
      </c>
    </row>
    <row r="12" spans="1:13" ht="10" customHeight="1">
      <c r="A12">
        <v>44</v>
      </c>
      <c r="B12" t="s">
        <v>37</v>
      </c>
      <c r="C12" t="s">
        <v>38</v>
      </c>
      <c r="D12" t="s">
        <v>28</v>
      </c>
      <c r="E12">
        <v>2024</v>
      </c>
      <c r="K12" t="str">
        <f t="shared" si="0"/>
        <v/>
      </c>
      <c r="L12" t="s">
        <v>28</v>
      </c>
      <c r="M12" t="s">
        <v>106</v>
      </c>
    </row>
    <row r="13" spans="1:13" ht="10" customHeight="1">
      <c r="A13">
        <v>44</v>
      </c>
      <c r="B13" t="s">
        <v>37</v>
      </c>
      <c r="C13" t="s">
        <v>38</v>
      </c>
      <c r="D13" t="s">
        <v>28</v>
      </c>
      <c r="E13">
        <v>2025</v>
      </c>
      <c r="K13" t="str">
        <f t="shared" si="0"/>
        <v/>
      </c>
      <c r="L13" t="s">
        <v>28</v>
      </c>
      <c r="M13" t="s">
        <v>106</v>
      </c>
    </row>
    <row r="14" spans="1:13" ht="10" customHeight="1">
      <c r="A14">
        <v>45</v>
      </c>
      <c r="B14" t="s">
        <v>40</v>
      </c>
      <c r="C14" t="s">
        <v>41</v>
      </c>
      <c r="D14" t="s">
        <v>42</v>
      </c>
      <c r="E14">
        <v>2023</v>
      </c>
      <c r="F14">
        <v>74470</v>
      </c>
      <c r="G14">
        <v>15127</v>
      </c>
      <c r="H14">
        <v>1795</v>
      </c>
      <c r="I14">
        <v>0</v>
      </c>
      <c r="K14">
        <f t="shared" si="0"/>
        <v>100</v>
      </c>
      <c r="L14" t="s">
        <v>111</v>
      </c>
      <c r="M14" t="s">
        <v>112</v>
      </c>
    </row>
    <row r="15" spans="1:13" ht="10" customHeight="1">
      <c r="A15">
        <v>45</v>
      </c>
      <c r="B15" t="s">
        <v>40</v>
      </c>
      <c r="C15" t="s">
        <v>41</v>
      </c>
      <c r="D15" t="s">
        <v>42</v>
      </c>
      <c r="E15">
        <v>2024</v>
      </c>
      <c r="F15">
        <v>90260</v>
      </c>
      <c r="G15">
        <v>17290</v>
      </c>
      <c r="H15">
        <v>1630</v>
      </c>
      <c r="I15">
        <v>0</v>
      </c>
      <c r="K15">
        <f t="shared" si="0"/>
        <v>100</v>
      </c>
      <c r="L15" t="s">
        <v>111</v>
      </c>
      <c r="M15" t="s">
        <v>113</v>
      </c>
    </row>
    <row r="16" spans="1:13" ht="10" customHeight="1">
      <c r="A16">
        <v>45</v>
      </c>
      <c r="B16" t="s">
        <v>40</v>
      </c>
      <c r="C16" t="s">
        <v>41</v>
      </c>
      <c r="D16" t="s">
        <v>42</v>
      </c>
      <c r="E16">
        <v>2025</v>
      </c>
      <c r="F16">
        <v>104000</v>
      </c>
      <c r="H16">
        <v>637.6</v>
      </c>
      <c r="I16">
        <v>0</v>
      </c>
      <c r="K16">
        <f t="shared" si="0"/>
        <v>100</v>
      </c>
      <c r="L16" t="s">
        <v>111</v>
      </c>
      <c r="M16" t="s">
        <v>114</v>
      </c>
    </row>
    <row r="17" spans="1:13" ht="10" customHeight="1">
      <c r="A17">
        <v>46</v>
      </c>
      <c r="B17" t="s">
        <v>43</v>
      </c>
      <c r="C17" t="s">
        <v>41</v>
      </c>
      <c r="D17" t="s">
        <v>28</v>
      </c>
      <c r="E17">
        <v>2023</v>
      </c>
      <c r="K17" t="str">
        <f t="shared" si="0"/>
        <v/>
      </c>
      <c r="L17" t="s">
        <v>28</v>
      </c>
      <c r="M17" t="s">
        <v>106</v>
      </c>
    </row>
    <row r="18" spans="1:13" ht="10" customHeight="1">
      <c r="A18">
        <v>46</v>
      </c>
      <c r="B18" t="s">
        <v>43</v>
      </c>
      <c r="C18" t="s">
        <v>41</v>
      </c>
      <c r="D18" t="s">
        <v>28</v>
      </c>
      <c r="E18">
        <v>2024</v>
      </c>
      <c r="K18" t="str">
        <f t="shared" si="0"/>
        <v/>
      </c>
      <c r="L18" t="s">
        <v>28</v>
      </c>
      <c r="M18" t="s">
        <v>106</v>
      </c>
    </row>
    <row r="19" spans="1:13" ht="10" customHeight="1">
      <c r="A19">
        <v>46</v>
      </c>
      <c r="B19" t="s">
        <v>43</v>
      </c>
      <c r="C19" t="s">
        <v>41</v>
      </c>
      <c r="D19" t="s">
        <v>28</v>
      </c>
      <c r="E19">
        <v>2025</v>
      </c>
      <c r="K19" t="str">
        <f t="shared" si="0"/>
        <v/>
      </c>
      <c r="L19" t="s">
        <v>28</v>
      </c>
      <c r="M19" t="s">
        <v>106</v>
      </c>
    </row>
    <row r="20" spans="1:13" ht="10" customHeight="1">
      <c r="A20">
        <v>47</v>
      </c>
      <c r="B20" t="s">
        <v>44</v>
      </c>
      <c r="C20" t="s">
        <v>41</v>
      </c>
      <c r="D20" t="s">
        <v>28</v>
      </c>
      <c r="E20">
        <v>2023</v>
      </c>
      <c r="K20" t="str">
        <f t="shared" si="0"/>
        <v/>
      </c>
      <c r="L20" t="s">
        <v>28</v>
      </c>
      <c r="M20" t="s">
        <v>106</v>
      </c>
    </row>
    <row r="21" spans="1:13" ht="10" customHeight="1">
      <c r="A21">
        <v>47</v>
      </c>
      <c r="B21" t="s">
        <v>44</v>
      </c>
      <c r="C21" t="s">
        <v>41</v>
      </c>
      <c r="D21" t="s">
        <v>28</v>
      </c>
      <c r="E21">
        <v>2024</v>
      </c>
      <c r="K21" t="str">
        <f t="shared" si="0"/>
        <v/>
      </c>
      <c r="L21" t="s">
        <v>28</v>
      </c>
      <c r="M21" t="s">
        <v>106</v>
      </c>
    </row>
    <row r="22" spans="1:13" ht="10" customHeight="1">
      <c r="A22">
        <v>47</v>
      </c>
      <c r="B22" t="s">
        <v>44</v>
      </c>
      <c r="C22" t="s">
        <v>41</v>
      </c>
      <c r="D22" t="s">
        <v>28</v>
      </c>
      <c r="E22">
        <v>2025</v>
      </c>
      <c r="K22" t="str">
        <f t="shared" si="0"/>
        <v/>
      </c>
      <c r="L22" t="s">
        <v>28</v>
      </c>
      <c r="M22" t="s">
        <v>106</v>
      </c>
    </row>
    <row r="23" spans="1:13" ht="10" customHeight="1">
      <c r="A23">
        <v>48</v>
      </c>
      <c r="B23" t="s">
        <v>45</v>
      </c>
      <c r="C23" t="s">
        <v>46</v>
      </c>
      <c r="D23" t="s">
        <v>28</v>
      </c>
      <c r="E23">
        <v>2023</v>
      </c>
      <c r="K23" t="str">
        <f t="shared" si="0"/>
        <v/>
      </c>
      <c r="L23" t="s">
        <v>28</v>
      </c>
      <c r="M23" t="s">
        <v>106</v>
      </c>
    </row>
    <row r="24" spans="1:13" ht="10" customHeight="1">
      <c r="A24">
        <v>48</v>
      </c>
      <c r="B24" t="s">
        <v>45</v>
      </c>
      <c r="C24" t="s">
        <v>46</v>
      </c>
      <c r="D24" t="s">
        <v>28</v>
      </c>
      <c r="E24">
        <v>2024</v>
      </c>
      <c r="K24" t="str">
        <f t="shared" si="0"/>
        <v/>
      </c>
      <c r="L24" t="s">
        <v>28</v>
      </c>
      <c r="M24" t="s">
        <v>106</v>
      </c>
    </row>
    <row r="25" spans="1:13" ht="10" customHeight="1">
      <c r="A25">
        <v>48</v>
      </c>
      <c r="B25" t="s">
        <v>45</v>
      </c>
      <c r="C25" t="s">
        <v>46</v>
      </c>
      <c r="D25" t="s">
        <v>28</v>
      </c>
      <c r="E25">
        <v>2025</v>
      </c>
      <c r="K25" t="str">
        <f t="shared" si="0"/>
        <v/>
      </c>
      <c r="L25" t="s">
        <v>28</v>
      </c>
      <c r="M25" t="s">
        <v>106</v>
      </c>
    </row>
    <row r="26" spans="1:13" ht="10" customHeight="1">
      <c r="A26">
        <v>49</v>
      </c>
      <c r="B26" t="s">
        <v>47</v>
      </c>
      <c r="C26" t="s">
        <v>46</v>
      </c>
      <c r="D26" t="s">
        <v>48</v>
      </c>
      <c r="E26">
        <v>2023</v>
      </c>
      <c r="J26">
        <v>186</v>
      </c>
      <c r="K26" t="str">
        <f t="shared" si="0"/>
        <v/>
      </c>
      <c r="L26" t="s">
        <v>115</v>
      </c>
      <c r="M26" t="s">
        <v>116</v>
      </c>
    </row>
    <row r="27" spans="1:13" ht="10" customHeight="1">
      <c r="A27">
        <v>49</v>
      </c>
      <c r="B27" t="s">
        <v>47</v>
      </c>
      <c r="C27" t="s">
        <v>46</v>
      </c>
      <c r="D27" t="s">
        <v>48</v>
      </c>
      <c r="E27">
        <v>2024</v>
      </c>
      <c r="F27">
        <v>1574.8</v>
      </c>
      <c r="H27">
        <v>62.8</v>
      </c>
      <c r="I27">
        <v>0</v>
      </c>
      <c r="J27">
        <v>294</v>
      </c>
      <c r="K27">
        <f t="shared" si="0"/>
        <v>100</v>
      </c>
      <c r="L27" t="s">
        <v>115</v>
      </c>
      <c r="M27" t="s">
        <v>117</v>
      </c>
    </row>
    <row r="28" spans="1:13" ht="10" customHeight="1">
      <c r="A28">
        <v>49</v>
      </c>
      <c r="B28" t="s">
        <v>47</v>
      </c>
      <c r="C28" t="s">
        <v>46</v>
      </c>
      <c r="D28" t="s">
        <v>48</v>
      </c>
      <c r="E28">
        <v>2025</v>
      </c>
      <c r="F28">
        <v>2000</v>
      </c>
      <c r="H28">
        <v>55.9</v>
      </c>
      <c r="I28">
        <v>0</v>
      </c>
      <c r="J28">
        <v>366</v>
      </c>
      <c r="K28">
        <f t="shared" si="0"/>
        <v>100</v>
      </c>
      <c r="L28" t="s">
        <v>115</v>
      </c>
      <c r="M28" t="s">
        <v>118</v>
      </c>
    </row>
    <row r="29" spans="1:13" ht="10" customHeight="1">
      <c r="A29">
        <v>50</v>
      </c>
      <c r="B29" t="s">
        <v>49</v>
      </c>
      <c r="C29" t="s">
        <v>46</v>
      </c>
      <c r="D29" t="s">
        <v>28</v>
      </c>
      <c r="E29">
        <v>2023</v>
      </c>
      <c r="K29" t="str">
        <f t="shared" si="0"/>
        <v/>
      </c>
      <c r="L29" t="s">
        <v>28</v>
      </c>
      <c r="M29" t="s">
        <v>106</v>
      </c>
    </row>
    <row r="30" spans="1:13" ht="10" customHeight="1">
      <c r="A30">
        <v>50</v>
      </c>
      <c r="B30" t="s">
        <v>49</v>
      </c>
      <c r="C30" t="s">
        <v>46</v>
      </c>
      <c r="D30" t="s">
        <v>28</v>
      </c>
      <c r="E30">
        <v>2024</v>
      </c>
      <c r="K30" t="str">
        <f t="shared" si="0"/>
        <v/>
      </c>
      <c r="L30" t="s">
        <v>28</v>
      </c>
      <c r="M30" t="s">
        <v>106</v>
      </c>
    </row>
    <row r="31" spans="1:13" ht="10" customHeight="1">
      <c r="A31">
        <v>50</v>
      </c>
      <c r="B31" t="s">
        <v>49</v>
      </c>
      <c r="C31" t="s">
        <v>46</v>
      </c>
      <c r="D31" t="s">
        <v>28</v>
      </c>
      <c r="E31">
        <v>2025</v>
      </c>
      <c r="K31" t="str">
        <f t="shared" si="0"/>
        <v/>
      </c>
      <c r="L31" t="s">
        <v>28</v>
      </c>
      <c r="M31" t="s">
        <v>106</v>
      </c>
    </row>
    <row r="32" spans="1:13" ht="10" customHeight="1">
      <c r="A32">
        <v>51</v>
      </c>
      <c r="B32" t="s">
        <v>50</v>
      </c>
      <c r="C32" t="s">
        <v>46</v>
      </c>
      <c r="D32" t="s">
        <v>51</v>
      </c>
      <c r="E32">
        <v>2023</v>
      </c>
      <c r="F32">
        <v>20170</v>
      </c>
      <c r="G32">
        <v>14952</v>
      </c>
      <c r="H32">
        <v>3000</v>
      </c>
      <c r="I32">
        <v>0</v>
      </c>
      <c r="K32">
        <f t="shared" si="0"/>
        <v>100</v>
      </c>
      <c r="L32" t="s">
        <v>119</v>
      </c>
      <c r="M32" t="s">
        <v>120</v>
      </c>
    </row>
    <row r="33" spans="1:13" ht="10" customHeight="1">
      <c r="A33">
        <v>51</v>
      </c>
      <c r="B33" t="s">
        <v>50</v>
      </c>
      <c r="C33" t="s">
        <v>46</v>
      </c>
      <c r="D33" t="s">
        <v>51</v>
      </c>
      <c r="E33">
        <v>2024</v>
      </c>
      <c r="F33">
        <v>25900</v>
      </c>
      <c r="G33">
        <v>20140</v>
      </c>
      <c r="H33">
        <v>5680</v>
      </c>
      <c r="I33">
        <v>0</v>
      </c>
      <c r="K33">
        <f t="shared" si="0"/>
        <v>100</v>
      </c>
      <c r="L33" t="s">
        <v>119</v>
      </c>
      <c r="M33" t="s">
        <v>121</v>
      </c>
    </row>
    <row r="34" spans="1:13" ht="10" customHeight="1">
      <c r="A34">
        <v>51</v>
      </c>
      <c r="B34" t="s">
        <v>50</v>
      </c>
      <c r="C34" t="s">
        <v>46</v>
      </c>
      <c r="D34" t="s">
        <v>51</v>
      </c>
      <c r="E34">
        <v>2025</v>
      </c>
      <c r="F34">
        <v>30800</v>
      </c>
      <c r="H34">
        <v>4100</v>
      </c>
      <c r="I34">
        <v>0</v>
      </c>
      <c r="K34">
        <f t="shared" ref="K34:K65" si="1">IFERROR(IF(H34&gt;0,(H34-I34)/H34*100,IF(I34&gt;0,-100,"")),"")</f>
        <v>100</v>
      </c>
      <c r="L34" t="s">
        <v>119</v>
      </c>
      <c r="M34" t="s">
        <v>122</v>
      </c>
    </row>
    <row r="35" spans="1:13" ht="10" customHeight="1">
      <c r="A35">
        <v>52</v>
      </c>
      <c r="B35" t="s">
        <v>52</v>
      </c>
      <c r="C35" t="s">
        <v>46</v>
      </c>
      <c r="D35" t="s">
        <v>53</v>
      </c>
      <c r="E35">
        <v>2023</v>
      </c>
      <c r="F35">
        <v>155750</v>
      </c>
      <c r="G35">
        <v>27500</v>
      </c>
      <c r="H35">
        <v>14170</v>
      </c>
      <c r="I35">
        <v>0</v>
      </c>
      <c r="K35">
        <f t="shared" si="1"/>
        <v>100</v>
      </c>
      <c r="L35" t="s">
        <v>123</v>
      </c>
      <c r="M35" t="s">
        <v>124</v>
      </c>
    </row>
    <row r="36" spans="1:13" ht="10" customHeight="1">
      <c r="A36">
        <v>52</v>
      </c>
      <c r="B36" t="s">
        <v>52</v>
      </c>
      <c r="C36" t="s">
        <v>46</v>
      </c>
      <c r="D36" t="s">
        <v>53</v>
      </c>
      <c r="E36">
        <v>2024</v>
      </c>
      <c r="F36">
        <v>187360</v>
      </c>
      <c r="G36">
        <v>35400</v>
      </c>
      <c r="H36">
        <v>16960</v>
      </c>
      <c r="I36">
        <v>0</v>
      </c>
      <c r="K36">
        <f t="shared" si="1"/>
        <v>100</v>
      </c>
      <c r="L36" t="s">
        <v>123</v>
      </c>
      <c r="M36" t="s">
        <v>125</v>
      </c>
    </row>
    <row r="37" spans="1:13" ht="10" customHeight="1">
      <c r="A37">
        <v>52</v>
      </c>
      <c r="B37" t="s">
        <v>52</v>
      </c>
      <c r="C37" t="s">
        <v>46</v>
      </c>
      <c r="D37" t="s">
        <v>53</v>
      </c>
      <c r="E37">
        <v>2025</v>
      </c>
      <c r="F37">
        <v>218600</v>
      </c>
      <c r="G37">
        <v>37900</v>
      </c>
      <c r="H37">
        <v>14400</v>
      </c>
      <c r="I37">
        <v>0</v>
      </c>
      <c r="K37">
        <f t="shared" si="1"/>
        <v>100</v>
      </c>
      <c r="L37" t="s">
        <v>123</v>
      </c>
      <c r="M37" t="s">
        <v>126</v>
      </c>
    </row>
    <row r="38" spans="1:13" ht="10" customHeight="1">
      <c r="A38">
        <v>53</v>
      </c>
      <c r="B38" t="s">
        <v>54</v>
      </c>
      <c r="C38" t="s">
        <v>46</v>
      </c>
      <c r="D38" t="s">
        <v>28</v>
      </c>
      <c r="E38">
        <v>2023</v>
      </c>
      <c r="K38" t="str">
        <f t="shared" si="1"/>
        <v/>
      </c>
      <c r="L38" t="s">
        <v>28</v>
      </c>
      <c r="M38" t="s">
        <v>106</v>
      </c>
    </row>
    <row r="39" spans="1:13" ht="10" customHeight="1">
      <c r="A39">
        <v>53</v>
      </c>
      <c r="B39" t="s">
        <v>54</v>
      </c>
      <c r="C39" t="s">
        <v>46</v>
      </c>
      <c r="D39" t="s">
        <v>28</v>
      </c>
      <c r="E39">
        <v>2024</v>
      </c>
      <c r="K39" t="str">
        <f t="shared" si="1"/>
        <v/>
      </c>
      <c r="L39" t="s">
        <v>28</v>
      </c>
      <c r="M39" t="s">
        <v>106</v>
      </c>
    </row>
    <row r="40" spans="1:13" ht="10" customHeight="1">
      <c r="A40">
        <v>53</v>
      </c>
      <c r="B40" t="s">
        <v>54</v>
      </c>
      <c r="C40" t="s">
        <v>46</v>
      </c>
      <c r="D40" t="s">
        <v>28</v>
      </c>
      <c r="E40">
        <v>2025</v>
      </c>
      <c r="K40" t="str">
        <f t="shared" si="1"/>
        <v/>
      </c>
      <c r="L40" t="s">
        <v>28</v>
      </c>
      <c r="M40" t="s">
        <v>106</v>
      </c>
    </row>
    <row r="41" spans="1:13" ht="10" customHeight="1">
      <c r="A41">
        <v>54</v>
      </c>
      <c r="B41" t="s">
        <v>55</v>
      </c>
      <c r="C41" t="s">
        <v>46</v>
      </c>
      <c r="D41" t="s">
        <v>56</v>
      </c>
      <c r="E41">
        <v>2023</v>
      </c>
      <c r="F41">
        <v>774.4</v>
      </c>
      <c r="K41" t="str">
        <f t="shared" si="1"/>
        <v/>
      </c>
      <c r="L41" t="s">
        <v>127</v>
      </c>
      <c r="M41" t="s">
        <v>128</v>
      </c>
    </row>
    <row r="42" spans="1:13" ht="10" customHeight="1">
      <c r="A42">
        <v>54</v>
      </c>
      <c r="B42" t="s">
        <v>55</v>
      </c>
      <c r="C42" t="s">
        <v>46</v>
      </c>
      <c r="D42" t="s">
        <v>56</v>
      </c>
      <c r="E42">
        <v>2024</v>
      </c>
      <c r="F42">
        <v>1400</v>
      </c>
      <c r="K42" t="str">
        <f t="shared" si="1"/>
        <v/>
      </c>
      <c r="L42" t="s">
        <v>127</v>
      </c>
      <c r="M42" t="s">
        <v>128</v>
      </c>
    </row>
    <row r="43" spans="1:13" ht="10" customHeight="1">
      <c r="A43">
        <v>54</v>
      </c>
      <c r="B43" t="s">
        <v>55</v>
      </c>
      <c r="C43" t="s">
        <v>46</v>
      </c>
      <c r="D43" t="s">
        <v>56</v>
      </c>
      <c r="E43">
        <v>2025</v>
      </c>
      <c r="K43" t="str">
        <f t="shared" si="1"/>
        <v/>
      </c>
      <c r="L43" t="s">
        <v>127</v>
      </c>
      <c r="M43" t="s">
        <v>129</v>
      </c>
    </row>
    <row r="44" spans="1:13" ht="10" customHeight="1">
      <c r="A44">
        <v>55</v>
      </c>
      <c r="B44" t="s">
        <v>57</v>
      </c>
      <c r="C44" t="s">
        <v>46</v>
      </c>
      <c r="D44" t="s">
        <v>28</v>
      </c>
      <c r="E44">
        <v>2023</v>
      </c>
      <c r="K44" t="str">
        <f t="shared" si="1"/>
        <v/>
      </c>
      <c r="L44" t="s">
        <v>28</v>
      </c>
      <c r="M44" t="s">
        <v>106</v>
      </c>
    </row>
    <row r="45" spans="1:13" ht="10" customHeight="1">
      <c r="A45">
        <v>55</v>
      </c>
      <c r="B45" t="s">
        <v>57</v>
      </c>
      <c r="C45" t="s">
        <v>46</v>
      </c>
      <c r="D45" t="s">
        <v>28</v>
      </c>
      <c r="E45">
        <v>2024</v>
      </c>
      <c r="K45" t="str">
        <f t="shared" si="1"/>
        <v/>
      </c>
      <c r="L45" t="s">
        <v>28</v>
      </c>
      <c r="M45" t="s">
        <v>106</v>
      </c>
    </row>
    <row r="46" spans="1:13" ht="10" customHeight="1">
      <c r="A46">
        <v>55</v>
      </c>
      <c r="B46" t="s">
        <v>57</v>
      </c>
      <c r="C46" t="s">
        <v>46</v>
      </c>
      <c r="D46" t="s">
        <v>28</v>
      </c>
      <c r="E46">
        <v>2025</v>
      </c>
      <c r="K46" t="str">
        <f t="shared" si="1"/>
        <v/>
      </c>
      <c r="L46" t="s">
        <v>28</v>
      </c>
      <c r="M46" t="s">
        <v>106</v>
      </c>
    </row>
    <row r="47" spans="1:13" ht="10" customHeight="1">
      <c r="A47">
        <v>56</v>
      </c>
      <c r="B47" t="s">
        <v>58</v>
      </c>
      <c r="C47" t="s">
        <v>46</v>
      </c>
      <c r="D47" t="s">
        <v>28</v>
      </c>
      <c r="E47">
        <v>2023</v>
      </c>
      <c r="K47" t="str">
        <f t="shared" si="1"/>
        <v/>
      </c>
      <c r="L47" t="s">
        <v>28</v>
      </c>
      <c r="M47" t="s">
        <v>106</v>
      </c>
    </row>
    <row r="48" spans="1:13" ht="10" customHeight="1">
      <c r="A48">
        <v>56</v>
      </c>
      <c r="B48" t="s">
        <v>58</v>
      </c>
      <c r="C48" t="s">
        <v>46</v>
      </c>
      <c r="D48" t="s">
        <v>28</v>
      </c>
      <c r="E48">
        <v>2024</v>
      </c>
      <c r="K48" t="str">
        <f t="shared" si="1"/>
        <v/>
      </c>
      <c r="L48" t="s">
        <v>28</v>
      </c>
      <c r="M48" t="s">
        <v>106</v>
      </c>
    </row>
    <row r="49" spans="1:13" ht="10" customHeight="1">
      <c r="A49">
        <v>56</v>
      </c>
      <c r="B49" t="s">
        <v>58</v>
      </c>
      <c r="C49" t="s">
        <v>46</v>
      </c>
      <c r="D49" t="s">
        <v>28</v>
      </c>
      <c r="E49">
        <v>2025</v>
      </c>
      <c r="K49" t="str">
        <f t="shared" si="1"/>
        <v/>
      </c>
      <c r="L49" t="s">
        <v>28</v>
      </c>
      <c r="M49" t="s">
        <v>106</v>
      </c>
    </row>
    <row r="50" spans="1:13" ht="10" customHeight="1">
      <c r="A50">
        <v>57</v>
      </c>
      <c r="B50" t="s">
        <v>59</v>
      </c>
      <c r="C50" t="s">
        <v>46</v>
      </c>
      <c r="D50" t="s">
        <v>28</v>
      </c>
      <c r="E50">
        <v>2023</v>
      </c>
      <c r="K50" t="str">
        <f t="shared" si="1"/>
        <v/>
      </c>
      <c r="L50" t="s">
        <v>28</v>
      </c>
      <c r="M50" t="s">
        <v>106</v>
      </c>
    </row>
    <row r="51" spans="1:13" ht="10" customHeight="1">
      <c r="A51">
        <v>57</v>
      </c>
      <c r="B51" t="s">
        <v>59</v>
      </c>
      <c r="C51" t="s">
        <v>46</v>
      </c>
      <c r="D51" t="s">
        <v>28</v>
      </c>
      <c r="E51">
        <v>2024</v>
      </c>
      <c r="K51" t="str">
        <f t="shared" si="1"/>
        <v/>
      </c>
      <c r="L51" t="s">
        <v>28</v>
      </c>
      <c r="M51" t="s">
        <v>106</v>
      </c>
    </row>
    <row r="52" spans="1:13" ht="10" customHeight="1">
      <c r="A52">
        <v>57</v>
      </c>
      <c r="B52" t="s">
        <v>59</v>
      </c>
      <c r="C52" t="s">
        <v>46</v>
      </c>
      <c r="D52" t="s">
        <v>28</v>
      </c>
      <c r="E52">
        <v>2025</v>
      </c>
      <c r="K52" t="str">
        <f t="shared" si="1"/>
        <v/>
      </c>
      <c r="L52" t="s">
        <v>28</v>
      </c>
      <c r="M52" t="s">
        <v>106</v>
      </c>
    </row>
    <row r="53" spans="1:13" ht="10" customHeight="1">
      <c r="A53">
        <v>58</v>
      </c>
      <c r="B53" t="s">
        <v>57</v>
      </c>
      <c r="C53" t="s">
        <v>46</v>
      </c>
      <c r="D53" t="s">
        <v>28</v>
      </c>
      <c r="E53">
        <v>2023</v>
      </c>
      <c r="K53" t="str">
        <f t="shared" si="1"/>
        <v/>
      </c>
      <c r="L53" t="s">
        <v>28</v>
      </c>
      <c r="M53" t="s">
        <v>106</v>
      </c>
    </row>
    <row r="54" spans="1:13" ht="10" customHeight="1">
      <c r="A54">
        <v>58</v>
      </c>
      <c r="B54" t="s">
        <v>57</v>
      </c>
      <c r="C54" t="s">
        <v>46</v>
      </c>
      <c r="D54" t="s">
        <v>28</v>
      </c>
      <c r="E54">
        <v>2024</v>
      </c>
      <c r="K54" t="str">
        <f t="shared" si="1"/>
        <v/>
      </c>
      <c r="L54" t="s">
        <v>28</v>
      </c>
      <c r="M54" t="s">
        <v>106</v>
      </c>
    </row>
    <row r="55" spans="1:13" ht="10" customHeight="1">
      <c r="A55">
        <v>58</v>
      </c>
      <c r="B55" t="s">
        <v>57</v>
      </c>
      <c r="C55" t="s">
        <v>46</v>
      </c>
      <c r="D55" t="s">
        <v>28</v>
      </c>
      <c r="E55">
        <v>2025</v>
      </c>
      <c r="K55" t="str">
        <f t="shared" si="1"/>
        <v/>
      </c>
      <c r="L55" t="s">
        <v>28</v>
      </c>
      <c r="M55" t="s">
        <v>106</v>
      </c>
    </row>
    <row r="56" spans="1:13" ht="10" customHeight="1">
      <c r="A56">
        <v>59</v>
      </c>
      <c r="B56" t="s">
        <v>40</v>
      </c>
      <c r="C56" t="s">
        <v>60</v>
      </c>
      <c r="D56" t="s">
        <v>42</v>
      </c>
      <c r="E56">
        <v>2023</v>
      </c>
      <c r="F56">
        <v>74470</v>
      </c>
      <c r="G56">
        <v>15127</v>
      </c>
      <c r="H56">
        <v>1795</v>
      </c>
      <c r="I56">
        <v>0</v>
      </c>
      <c r="K56">
        <f t="shared" si="1"/>
        <v>100</v>
      </c>
      <c r="L56" t="s">
        <v>111</v>
      </c>
      <c r="M56" t="s">
        <v>112</v>
      </c>
    </row>
    <row r="57" spans="1:13" ht="10" customHeight="1">
      <c r="A57">
        <v>59</v>
      </c>
      <c r="B57" t="s">
        <v>40</v>
      </c>
      <c r="C57" t="s">
        <v>60</v>
      </c>
      <c r="D57" t="s">
        <v>42</v>
      </c>
      <c r="E57">
        <v>2024</v>
      </c>
      <c r="F57">
        <v>90260</v>
      </c>
      <c r="G57">
        <v>17290</v>
      </c>
      <c r="H57">
        <v>1630</v>
      </c>
      <c r="I57">
        <v>0</v>
      </c>
      <c r="K57">
        <f t="shared" si="1"/>
        <v>100</v>
      </c>
      <c r="L57" t="s">
        <v>111</v>
      </c>
      <c r="M57" t="s">
        <v>113</v>
      </c>
    </row>
    <row r="58" spans="1:13" ht="10" customHeight="1">
      <c r="A58">
        <v>59</v>
      </c>
      <c r="B58" t="s">
        <v>40</v>
      </c>
      <c r="C58" t="s">
        <v>60</v>
      </c>
      <c r="D58" t="s">
        <v>42</v>
      </c>
      <c r="E58">
        <v>2025</v>
      </c>
      <c r="F58">
        <v>104000</v>
      </c>
      <c r="H58">
        <v>637.6</v>
      </c>
      <c r="I58">
        <v>0</v>
      </c>
      <c r="K58">
        <f t="shared" si="1"/>
        <v>100</v>
      </c>
      <c r="L58" t="s">
        <v>111</v>
      </c>
      <c r="M58" t="s">
        <v>114</v>
      </c>
    </row>
    <row r="59" spans="1:13" ht="10" customHeight="1">
      <c r="A59">
        <v>60</v>
      </c>
      <c r="B59" t="s">
        <v>61</v>
      </c>
      <c r="C59" t="s">
        <v>62</v>
      </c>
      <c r="D59" t="s">
        <v>28</v>
      </c>
      <c r="E59">
        <v>2023</v>
      </c>
      <c r="K59" t="str">
        <f t="shared" si="1"/>
        <v/>
      </c>
      <c r="L59" t="s">
        <v>28</v>
      </c>
      <c r="M59" t="s">
        <v>106</v>
      </c>
    </row>
    <row r="60" spans="1:13" ht="10" customHeight="1">
      <c r="A60">
        <v>60</v>
      </c>
      <c r="B60" t="s">
        <v>61</v>
      </c>
      <c r="C60" t="s">
        <v>62</v>
      </c>
      <c r="D60" t="s">
        <v>28</v>
      </c>
      <c r="E60">
        <v>2024</v>
      </c>
      <c r="K60" t="str">
        <f t="shared" si="1"/>
        <v/>
      </c>
      <c r="L60" t="s">
        <v>28</v>
      </c>
      <c r="M60" t="s">
        <v>106</v>
      </c>
    </row>
    <row r="61" spans="1:13" ht="10" customHeight="1">
      <c r="A61">
        <v>60</v>
      </c>
      <c r="B61" t="s">
        <v>61</v>
      </c>
      <c r="C61" t="s">
        <v>62</v>
      </c>
      <c r="D61" t="s">
        <v>28</v>
      </c>
      <c r="E61">
        <v>2025</v>
      </c>
      <c r="K61" t="str">
        <f t="shared" si="1"/>
        <v/>
      </c>
      <c r="L61" t="s">
        <v>28</v>
      </c>
      <c r="M61" t="s">
        <v>106</v>
      </c>
    </row>
    <row r="62" spans="1:13" ht="10" customHeight="1">
      <c r="A62">
        <v>61</v>
      </c>
      <c r="B62" t="s">
        <v>63</v>
      </c>
      <c r="C62" t="s">
        <v>64</v>
      </c>
      <c r="D62" t="s">
        <v>28</v>
      </c>
      <c r="E62">
        <v>2023</v>
      </c>
      <c r="K62" t="str">
        <f t="shared" si="1"/>
        <v/>
      </c>
      <c r="L62" t="s">
        <v>28</v>
      </c>
      <c r="M62" t="s">
        <v>106</v>
      </c>
    </row>
    <row r="63" spans="1:13" ht="10" customHeight="1">
      <c r="A63">
        <v>61</v>
      </c>
      <c r="B63" t="s">
        <v>63</v>
      </c>
      <c r="C63" t="s">
        <v>64</v>
      </c>
      <c r="D63" t="s">
        <v>28</v>
      </c>
      <c r="E63">
        <v>2024</v>
      </c>
      <c r="K63" t="str">
        <f t="shared" si="1"/>
        <v/>
      </c>
      <c r="L63" t="s">
        <v>28</v>
      </c>
      <c r="M63" t="s">
        <v>106</v>
      </c>
    </row>
    <row r="64" spans="1:13" ht="10" customHeight="1">
      <c r="A64">
        <v>61</v>
      </c>
      <c r="B64" t="s">
        <v>63</v>
      </c>
      <c r="C64" t="s">
        <v>64</v>
      </c>
      <c r="D64" t="s">
        <v>28</v>
      </c>
      <c r="E64">
        <v>2025</v>
      </c>
      <c r="K64" t="str">
        <f t="shared" si="1"/>
        <v/>
      </c>
      <c r="L64" t="s">
        <v>28</v>
      </c>
      <c r="M64" t="s">
        <v>106</v>
      </c>
    </row>
    <row r="65" spans="1:13" ht="10" customHeight="1">
      <c r="A65">
        <v>62</v>
      </c>
      <c r="B65" t="s">
        <v>65</v>
      </c>
      <c r="C65" t="s">
        <v>66</v>
      </c>
      <c r="D65" t="s">
        <v>28</v>
      </c>
      <c r="E65">
        <v>2023</v>
      </c>
      <c r="K65" t="str">
        <f t="shared" si="1"/>
        <v/>
      </c>
      <c r="L65" t="s">
        <v>28</v>
      </c>
      <c r="M65" t="s">
        <v>106</v>
      </c>
    </row>
    <row r="66" spans="1:13" ht="10" customHeight="1">
      <c r="A66">
        <v>62</v>
      </c>
      <c r="B66" t="s">
        <v>65</v>
      </c>
      <c r="C66" t="s">
        <v>66</v>
      </c>
      <c r="D66" t="s">
        <v>28</v>
      </c>
      <c r="E66">
        <v>2024</v>
      </c>
      <c r="K66" t="str">
        <f t="shared" ref="K66:K97" si="2">IFERROR(IF(H66&gt;0,(H66-I66)/H66*100,IF(I66&gt;0,-100,"")),"")</f>
        <v/>
      </c>
      <c r="L66" t="s">
        <v>28</v>
      </c>
      <c r="M66" t="s">
        <v>106</v>
      </c>
    </row>
    <row r="67" spans="1:13" ht="10" customHeight="1">
      <c r="A67">
        <v>62</v>
      </c>
      <c r="B67" t="s">
        <v>65</v>
      </c>
      <c r="C67" t="s">
        <v>66</v>
      </c>
      <c r="D67" t="s">
        <v>28</v>
      </c>
      <c r="E67">
        <v>2025</v>
      </c>
      <c r="K67" t="str">
        <f t="shared" si="2"/>
        <v/>
      </c>
      <c r="L67" t="s">
        <v>28</v>
      </c>
      <c r="M67" t="s">
        <v>106</v>
      </c>
    </row>
    <row r="68" spans="1:13" ht="10" customHeight="1">
      <c r="A68">
        <v>63</v>
      </c>
      <c r="B68" t="s">
        <v>68</v>
      </c>
      <c r="C68" t="s">
        <v>69</v>
      </c>
      <c r="D68" t="s">
        <v>28</v>
      </c>
      <c r="E68">
        <v>2023</v>
      </c>
      <c r="K68" t="str">
        <f t="shared" si="2"/>
        <v/>
      </c>
      <c r="L68" t="s">
        <v>28</v>
      </c>
      <c r="M68" t="s">
        <v>106</v>
      </c>
    </row>
    <row r="69" spans="1:13" ht="10" customHeight="1">
      <c r="A69">
        <v>63</v>
      </c>
      <c r="B69" t="s">
        <v>68</v>
      </c>
      <c r="C69" t="s">
        <v>69</v>
      </c>
      <c r="D69" t="s">
        <v>28</v>
      </c>
      <c r="E69">
        <v>2024</v>
      </c>
      <c r="K69" t="str">
        <f t="shared" si="2"/>
        <v/>
      </c>
      <c r="L69" t="s">
        <v>28</v>
      </c>
      <c r="M69" t="s">
        <v>106</v>
      </c>
    </row>
    <row r="70" spans="1:13" ht="10" customHeight="1">
      <c r="A70">
        <v>63</v>
      </c>
      <c r="B70" t="s">
        <v>68</v>
      </c>
      <c r="C70" t="s">
        <v>69</v>
      </c>
      <c r="D70" t="s">
        <v>28</v>
      </c>
      <c r="E70">
        <v>2025</v>
      </c>
      <c r="K70" t="str">
        <f t="shared" si="2"/>
        <v/>
      </c>
      <c r="L70" t="s">
        <v>28</v>
      </c>
      <c r="M70" t="s">
        <v>106</v>
      </c>
    </row>
    <row r="71" spans="1:13" ht="10" customHeight="1">
      <c r="A71">
        <v>64</v>
      </c>
      <c r="B71" t="s">
        <v>70</v>
      </c>
      <c r="C71" t="s">
        <v>69</v>
      </c>
      <c r="D71" t="s">
        <v>71</v>
      </c>
      <c r="E71">
        <v>2023</v>
      </c>
      <c r="K71" t="str">
        <f t="shared" si="2"/>
        <v/>
      </c>
      <c r="L71" t="s">
        <v>130</v>
      </c>
      <c r="M71" t="s">
        <v>131</v>
      </c>
    </row>
    <row r="72" spans="1:13" ht="10" customHeight="1">
      <c r="A72">
        <v>64</v>
      </c>
      <c r="B72" t="s">
        <v>70</v>
      </c>
      <c r="C72" t="s">
        <v>69</v>
      </c>
      <c r="D72" t="s">
        <v>71</v>
      </c>
      <c r="E72">
        <v>2024</v>
      </c>
      <c r="K72" t="str">
        <f t="shared" si="2"/>
        <v/>
      </c>
      <c r="L72" t="s">
        <v>130</v>
      </c>
      <c r="M72" t="s">
        <v>131</v>
      </c>
    </row>
    <row r="73" spans="1:13" ht="10" customHeight="1">
      <c r="A73">
        <v>64</v>
      </c>
      <c r="B73" t="s">
        <v>70</v>
      </c>
      <c r="C73" t="s">
        <v>69</v>
      </c>
      <c r="D73" t="s">
        <v>71</v>
      </c>
      <c r="E73">
        <v>2025</v>
      </c>
      <c r="F73">
        <v>0</v>
      </c>
      <c r="H73">
        <v>0</v>
      </c>
      <c r="I73">
        <v>0.70899999999999996</v>
      </c>
      <c r="K73">
        <f t="shared" si="2"/>
        <v>-100</v>
      </c>
      <c r="L73" t="s">
        <v>130</v>
      </c>
      <c r="M73" t="s">
        <v>132</v>
      </c>
    </row>
    <row r="74" spans="1:13" ht="10" customHeight="1">
      <c r="A74">
        <v>65</v>
      </c>
      <c r="B74" t="s">
        <v>72</v>
      </c>
      <c r="C74" t="s">
        <v>73</v>
      </c>
      <c r="D74" t="s">
        <v>28</v>
      </c>
      <c r="E74">
        <v>2023</v>
      </c>
      <c r="K74" t="str">
        <f t="shared" si="2"/>
        <v/>
      </c>
      <c r="L74" t="s">
        <v>28</v>
      </c>
      <c r="M74" t="s">
        <v>106</v>
      </c>
    </row>
    <row r="75" spans="1:13" ht="10" customHeight="1">
      <c r="A75">
        <v>65</v>
      </c>
      <c r="B75" t="s">
        <v>72</v>
      </c>
      <c r="C75" t="s">
        <v>73</v>
      </c>
      <c r="D75" t="s">
        <v>28</v>
      </c>
      <c r="E75">
        <v>2024</v>
      </c>
      <c r="K75" t="str">
        <f t="shared" si="2"/>
        <v/>
      </c>
      <c r="L75" t="s">
        <v>28</v>
      </c>
      <c r="M75" t="s">
        <v>106</v>
      </c>
    </row>
    <row r="76" spans="1:13" ht="10" customHeight="1">
      <c r="A76">
        <v>65</v>
      </c>
      <c r="B76" t="s">
        <v>72</v>
      </c>
      <c r="C76" t="s">
        <v>73</v>
      </c>
      <c r="D76" t="s">
        <v>28</v>
      </c>
      <c r="E76">
        <v>2025</v>
      </c>
      <c r="K76" t="str">
        <f t="shared" si="2"/>
        <v/>
      </c>
      <c r="L76" t="s">
        <v>28</v>
      </c>
      <c r="M76" t="s">
        <v>106</v>
      </c>
    </row>
    <row r="77" spans="1:13" ht="10" customHeight="1">
      <c r="A77">
        <v>66</v>
      </c>
      <c r="B77" t="s">
        <v>74</v>
      </c>
      <c r="C77" t="s">
        <v>75</v>
      </c>
      <c r="D77" t="s">
        <v>28</v>
      </c>
      <c r="E77">
        <v>2023</v>
      </c>
      <c r="K77" t="str">
        <f t="shared" si="2"/>
        <v/>
      </c>
      <c r="L77" t="s">
        <v>28</v>
      </c>
      <c r="M77" t="s">
        <v>106</v>
      </c>
    </row>
    <row r="78" spans="1:13" ht="10" customHeight="1">
      <c r="A78">
        <v>66</v>
      </c>
      <c r="B78" t="s">
        <v>74</v>
      </c>
      <c r="C78" t="s">
        <v>75</v>
      </c>
      <c r="D78" t="s">
        <v>28</v>
      </c>
      <c r="E78">
        <v>2024</v>
      </c>
      <c r="K78" t="str">
        <f t="shared" si="2"/>
        <v/>
      </c>
      <c r="L78" t="s">
        <v>28</v>
      </c>
      <c r="M78" t="s">
        <v>106</v>
      </c>
    </row>
    <row r="79" spans="1:13" ht="10" customHeight="1">
      <c r="A79">
        <v>66</v>
      </c>
      <c r="B79" t="s">
        <v>74</v>
      </c>
      <c r="C79" t="s">
        <v>75</v>
      </c>
      <c r="D79" t="s">
        <v>28</v>
      </c>
      <c r="E79">
        <v>2025</v>
      </c>
      <c r="K79" t="str">
        <f t="shared" si="2"/>
        <v/>
      </c>
      <c r="L79" t="s">
        <v>28</v>
      </c>
      <c r="M79" t="s">
        <v>106</v>
      </c>
    </row>
    <row r="80" spans="1:13" ht="10" customHeight="1">
      <c r="A80">
        <v>67</v>
      </c>
      <c r="B80" t="s">
        <v>76</v>
      </c>
      <c r="C80" t="s">
        <v>77</v>
      </c>
      <c r="D80" t="s">
        <v>28</v>
      </c>
      <c r="E80">
        <v>2023</v>
      </c>
      <c r="K80" t="str">
        <f t="shared" si="2"/>
        <v/>
      </c>
      <c r="L80" t="s">
        <v>28</v>
      </c>
      <c r="M80" t="s">
        <v>106</v>
      </c>
    </row>
    <row r="81" spans="1:13" ht="10" customHeight="1">
      <c r="A81">
        <v>67</v>
      </c>
      <c r="B81" t="s">
        <v>76</v>
      </c>
      <c r="C81" t="s">
        <v>77</v>
      </c>
      <c r="D81" t="s">
        <v>28</v>
      </c>
      <c r="E81">
        <v>2024</v>
      </c>
      <c r="K81" t="str">
        <f t="shared" si="2"/>
        <v/>
      </c>
      <c r="L81" t="s">
        <v>28</v>
      </c>
      <c r="M81" t="s">
        <v>106</v>
      </c>
    </row>
    <row r="82" spans="1:13" ht="10" customHeight="1">
      <c r="A82">
        <v>67</v>
      </c>
      <c r="B82" t="s">
        <v>76</v>
      </c>
      <c r="C82" t="s">
        <v>77</v>
      </c>
      <c r="D82" t="s">
        <v>28</v>
      </c>
      <c r="E82">
        <v>2025</v>
      </c>
      <c r="K82" t="str">
        <f t="shared" si="2"/>
        <v/>
      </c>
      <c r="L82" t="s">
        <v>28</v>
      </c>
      <c r="M82" t="s">
        <v>106</v>
      </c>
    </row>
    <row r="83" spans="1:13" ht="10" customHeight="1">
      <c r="A83">
        <v>68</v>
      </c>
      <c r="B83" t="s">
        <v>78</v>
      </c>
      <c r="C83" t="s">
        <v>79</v>
      </c>
      <c r="D83" t="s">
        <v>80</v>
      </c>
      <c r="E83">
        <v>2023</v>
      </c>
      <c r="F83">
        <v>16300</v>
      </c>
      <c r="H83">
        <v>2300</v>
      </c>
      <c r="I83">
        <v>0</v>
      </c>
      <c r="K83">
        <f t="shared" si="2"/>
        <v>100</v>
      </c>
      <c r="L83" t="s">
        <v>133</v>
      </c>
      <c r="M83" t="s">
        <v>134</v>
      </c>
    </row>
    <row r="84" spans="1:13" ht="10" customHeight="1">
      <c r="A84">
        <v>68</v>
      </c>
      <c r="B84" t="s">
        <v>78</v>
      </c>
      <c r="C84" t="s">
        <v>79</v>
      </c>
      <c r="D84" t="s">
        <v>80</v>
      </c>
      <c r="E84">
        <v>2024</v>
      </c>
      <c r="F84">
        <v>18925.7</v>
      </c>
      <c r="H84">
        <v>2852.1</v>
      </c>
      <c r="I84">
        <v>0</v>
      </c>
      <c r="K84">
        <f t="shared" si="2"/>
        <v>100</v>
      </c>
      <c r="L84" t="s">
        <v>133</v>
      </c>
      <c r="M84" t="s">
        <v>118</v>
      </c>
    </row>
    <row r="85" spans="1:13" ht="10" customHeight="1">
      <c r="A85">
        <v>68</v>
      </c>
      <c r="B85" t="s">
        <v>78</v>
      </c>
      <c r="C85" t="s">
        <v>79</v>
      </c>
      <c r="D85" t="s">
        <v>80</v>
      </c>
      <c r="E85">
        <v>2025</v>
      </c>
      <c r="F85">
        <v>21700</v>
      </c>
      <c r="H85">
        <v>3400</v>
      </c>
      <c r="I85">
        <v>0</v>
      </c>
      <c r="K85">
        <f t="shared" si="2"/>
        <v>100</v>
      </c>
      <c r="L85" t="s">
        <v>133</v>
      </c>
      <c r="M85" t="s">
        <v>135</v>
      </c>
    </row>
    <row r="86" spans="1:13" ht="10" customHeight="1">
      <c r="A86">
        <v>69</v>
      </c>
      <c r="B86" t="s">
        <v>81</v>
      </c>
      <c r="C86" t="s">
        <v>82</v>
      </c>
      <c r="D86" t="s">
        <v>28</v>
      </c>
      <c r="E86">
        <v>2023</v>
      </c>
      <c r="K86" t="str">
        <f t="shared" si="2"/>
        <v/>
      </c>
      <c r="L86" t="s">
        <v>28</v>
      </c>
      <c r="M86" t="s">
        <v>106</v>
      </c>
    </row>
    <row r="87" spans="1:13" ht="10" customHeight="1">
      <c r="A87">
        <v>69</v>
      </c>
      <c r="B87" t="s">
        <v>81</v>
      </c>
      <c r="C87" t="s">
        <v>82</v>
      </c>
      <c r="D87" t="s">
        <v>28</v>
      </c>
      <c r="E87">
        <v>2024</v>
      </c>
      <c r="K87" t="str">
        <f t="shared" si="2"/>
        <v/>
      </c>
      <c r="L87" t="s">
        <v>28</v>
      </c>
      <c r="M87" t="s">
        <v>106</v>
      </c>
    </row>
    <row r="88" spans="1:13" ht="10" customHeight="1">
      <c r="A88">
        <v>69</v>
      </c>
      <c r="B88" t="s">
        <v>81</v>
      </c>
      <c r="C88" t="s">
        <v>82</v>
      </c>
      <c r="D88" t="s">
        <v>28</v>
      </c>
      <c r="E88">
        <v>2025</v>
      </c>
      <c r="K88" t="str">
        <f t="shared" si="2"/>
        <v/>
      </c>
      <c r="L88" t="s">
        <v>28</v>
      </c>
      <c r="M88" t="s">
        <v>106</v>
      </c>
    </row>
    <row r="89" spans="1:13" ht="10" customHeight="1">
      <c r="A89">
        <v>70</v>
      </c>
      <c r="B89" t="s">
        <v>83</v>
      </c>
      <c r="C89" t="s">
        <v>84</v>
      </c>
      <c r="D89" t="s">
        <v>28</v>
      </c>
      <c r="E89">
        <v>2023</v>
      </c>
      <c r="K89" t="str">
        <f t="shared" si="2"/>
        <v/>
      </c>
      <c r="L89" t="s">
        <v>28</v>
      </c>
      <c r="M89" t="s">
        <v>106</v>
      </c>
    </row>
    <row r="90" spans="1:13" ht="10" customHeight="1">
      <c r="A90">
        <v>70</v>
      </c>
      <c r="B90" t="s">
        <v>83</v>
      </c>
      <c r="C90" t="s">
        <v>84</v>
      </c>
      <c r="D90" t="s">
        <v>28</v>
      </c>
      <c r="E90">
        <v>2024</v>
      </c>
      <c r="K90" t="str">
        <f t="shared" si="2"/>
        <v/>
      </c>
      <c r="L90" t="s">
        <v>28</v>
      </c>
      <c r="M90" t="s">
        <v>106</v>
      </c>
    </row>
    <row r="91" spans="1:13" ht="10" customHeight="1">
      <c r="A91">
        <v>70</v>
      </c>
      <c r="B91" t="s">
        <v>83</v>
      </c>
      <c r="C91" t="s">
        <v>84</v>
      </c>
      <c r="D91" t="s">
        <v>28</v>
      </c>
      <c r="E91">
        <v>2025</v>
      </c>
      <c r="K91" t="str">
        <f t="shared" si="2"/>
        <v/>
      </c>
      <c r="L91" t="s">
        <v>28</v>
      </c>
      <c r="M91" t="s">
        <v>106</v>
      </c>
    </row>
    <row r="92" spans="1:13" ht="10" customHeight="1">
      <c r="A92">
        <v>71</v>
      </c>
      <c r="B92" t="s">
        <v>52</v>
      </c>
      <c r="C92" t="s">
        <v>85</v>
      </c>
      <c r="D92" t="s">
        <v>53</v>
      </c>
      <c r="E92">
        <v>2023</v>
      </c>
      <c r="F92">
        <v>155750</v>
      </c>
      <c r="G92">
        <v>27500</v>
      </c>
      <c r="H92">
        <v>14170</v>
      </c>
      <c r="I92">
        <v>0</v>
      </c>
      <c r="K92">
        <f t="shared" si="2"/>
        <v>100</v>
      </c>
      <c r="L92" t="s">
        <v>123</v>
      </c>
      <c r="M92" t="s">
        <v>124</v>
      </c>
    </row>
    <row r="93" spans="1:13" ht="10" customHeight="1">
      <c r="A93">
        <v>71</v>
      </c>
      <c r="B93" t="s">
        <v>52</v>
      </c>
      <c r="C93" t="s">
        <v>85</v>
      </c>
      <c r="D93" t="s">
        <v>53</v>
      </c>
      <c r="E93">
        <v>2024</v>
      </c>
      <c r="F93">
        <v>187360</v>
      </c>
      <c r="G93">
        <v>35400</v>
      </c>
      <c r="H93">
        <v>16960</v>
      </c>
      <c r="I93">
        <v>0</v>
      </c>
      <c r="K93">
        <f t="shared" si="2"/>
        <v>100</v>
      </c>
      <c r="L93" t="s">
        <v>123</v>
      </c>
      <c r="M93" t="s">
        <v>125</v>
      </c>
    </row>
    <row r="94" spans="1:13" ht="10" customHeight="1">
      <c r="A94">
        <v>71</v>
      </c>
      <c r="B94" t="s">
        <v>52</v>
      </c>
      <c r="C94" t="s">
        <v>85</v>
      </c>
      <c r="D94" t="s">
        <v>53</v>
      </c>
      <c r="E94">
        <v>2025</v>
      </c>
      <c r="F94">
        <v>218600</v>
      </c>
      <c r="G94">
        <v>37900</v>
      </c>
      <c r="H94">
        <v>14400</v>
      </c>
      <c r="I94">
        <v>0</v>
      </c>
      <c r="K94">
        <f t="shared" si="2"/>
        <v>100</v>
      </c>
      <c r="L94" t="s">
        <v>123</v>
      </c>
      <c r="M94" t="s">
        <v>126</v>
      </c>
    </row>
    <row r="95" spans="1:13" ht="10" customHeight="1">
      <c r="A95">
        <v>72</v>
      </c>
      <c r="B95" t="s">
        <v>57</v>
      </c>
      <c r="C95" t="s">
        <v>86</v>
      </c>
      <c r="D95" t="s">
        <v>28</v>
      </c>
      <c r="E95">
        <v>2023</v>
      </c>
      <c r="K95" t="str">
        <f t="shared" si="2"/>
        <v/>
      </c>
      <c r="L95" t="s">
        <v>28</v>
      </c>
      <c r="M95" t="s">
        <v>106</v>
      </c>
    </row>
    <row r="96" spans="1:13" ht="10" customHeight="1">
      <c r="A96">
        <v>72</v>
      </c>
      <c r="B96" t="s">
        <v>57</v>
      </c>
      <c r="C96" t="s">
        <v>86</v>
      </c>
      <c r="D96" t="s">
        <v>28</v>
      </c>
      <c r="E96">
        <v>2024</v>
      </c>
      <c r="K96" t="str">
        <f t="shared" si="2"/>
        <v/>
      </c>
      <c r="L96" t="s">
        <v>28</v>
      </c>
      <c r="M96" t="s">
        <v>106</v>
      </c>
    </row>
    <row r="97" spans="1:13" ht="10" customHeight="1">
      <c r="A97">
        <v>72</v>
      </c>
      <c r="B97" t="s">
        <v>57</v>
      </c>
      <c r="C97" t="s">
        <v>86</v>
      </c>
      <c r="D97" t="s">
        <v>28</v>
      </c>
      <c r="E97">
        <v>2025</v>
      </c>
      <c r="K97" t="str">
        <f t="shared" si="2"/>
        <v/>
      </c>
      <c r="L97" t="s">
        <v>28</v>
      </c>
      <c r="M97" t="s">
        <v>106</v>
      </c>
    </row>
    <row r="98" spans="1:13" ht="10" customHeight="1">
      <c r="A98">
        <v>73</v>
      </c>
      <c r="B98" t="s">
        <v>50</v>
      </c>
      <c r="C98" t="s">
        <v>85</v>
      </c>
      <c r="D98" t="s">
        <v>51</v>
      </c>
      <c r="E98">
        <v>2023</v>
      </c>
      <c r="F98">
        <v>20170</v>
      </c>
      <c r="G98">
        <v>14952</v>
      </c>
      <c r="H98">
        <v>3000</v>
      </c>
      <c r="I98">
        <v>0</v>
      </c>
      <c r="K98">
        <f t="shared" ref="K98:K121" si="3">IFERROR(IF(H98&gt;0,(H98-I98)/H98*100,IF(I98&gt;0,-100,"")),"")</f>
        <v>100</v>
      </c>
      <c r="L98" t="s">
        <v>119</v>
      </c>
      <c r="M98" t="s">
        <v>120</v>
      </c>
    </row>
    <row r="99" spans="1:13" ht="10" customHeight="1">
      <c r="A99">
        <v>73</v>
      </c>
      <c r="B99" t="s">
        <v>50</v>
      </c>
      <c r="C99" t="s">
        <v>85</v>
      </c>
      <c r="D99" t="s">
        <v>51</v>
      </c>
      <c r="E99">
        <v>2024</v>
      </c>
      <c r="F99">
        <v>25900</v>
      </c>
      <c r="G99">
        <v>20140</v>
      </c>
      <c r="H99">
        <v>5680</v>
      </c>
      <c r="I99">
        <v>0</v>
      </c>
      <c r="K99">
        <f t="shared" si="3"/>
        <v>100</v>
      </c>
      <c r="L99" t="s">
        <v>119</v>
      </c>
      <c r="M99" t="s">
        <v>121</v>
      </c>
    </row>
    <row r="100" spans="1:13" ht="10" customHeight="1">
      <c r="A100">
        <v>73</v>
      </c>
      <c r="B100" t="s">
        <v>50</v>
      </c>
      <c r="C100" t="s">
        <v>85</v>
      </c>
      <c r="D100" t="s">
        <v>51</v>
      </c>
      <c r="E100">
        <v>2025</v>
      </c>
      <c r="F100">
        <v>30800</v>
      </c>
      <c r="H100">
        <v>4100</v>
      </c>
      <c r="I100">
        <v>0</v>
      </c>
      <c r="K100">
        <f t="shared" si="3"/>
        <v>100</v>
      </c>
      <c r="L100" t="s">
        <v>119</v>
      </c>
      <c r="M100" t="s">
        <v>122</v>
      </c>
    </row>
    <row r="101" spans="1:13" ht="10" customHeight="1">
      <c r="A101">
        <v>74</v>
      </c>
      <c r="B101" t="s">
        <v>87</v>
      </c>
      <c r="C101" t="s">
        <v>86</v>
      </c>
      <c r="D101" t="s">
        <v>88</v>
      </c>
      <c r="E101">
        <v>2023</v>
      </c>
      <c r="F101">
        <v>16600</v>
      </c>
      <c r="K101" t="str">
        <f t="shared" si="3"/>
        <v/>
      </c>
      <c r="L101" t="s">
        <v>136</v>
      </c>
      <c r="M101" t="s">
        <v>137</v>
      </c>
    </row>
    <row r="102" spans="1:13" ht="10" customHeight="1">
      <c r="A102">
        <v>74</v>
      </c>
      <c r="B102" t="s">
        <v>87</v>
      </c>
      <c r="C102" t="s">
        <v>86</v>
      </c>
      <c r="D102" t="s">
        <v>88</v>
      </c>
      <c r="E102">
        <v>2024</v>
      </c>
      <c r="F102">
        <v>21300</v>
      </c>
      <c r="J102">
        <v>358</v>
      </c>
      <c r="K102" t="str">
        <f t="shared" si="3"/>
        <v/>
      </c>
      <c r="L102" t="s">
        <v>136</v>
      </c>
      <c r="M102" t="s">
        <v>138</v>
      </c>
    </row>
    <row r="103" spans="1:13" ht="10" customHeight="1">
      <c r="A103">
        <v>74</v>
      </c>
      <c r="B103" t="s">
        <v>87</v>
      </c>
      <c r="C103" t="s">
        <v>86</v>
      </c>
      <c r="D103" t="s">
        <v>88</v>
      </c>
      <c r="E103">
        <v>2025</v>
      </c>
      <c r="F103">
        <v>25000</v>
      </c>
      <c r="K103" t="str">
        <f t="shared" si="3"/>
        <v/>
      </c>
      <c r="L103" t="s">
        <v>136</v>
      </c>
      <c r="M103" t="s">
        <v>139</v>
      </c>
    </row>
    <row r="104" spans="1:13" ht="10" customHeight="1">
      <c r="A104">
        <v>75</v>
      </c>
      <c r="B104" t="s">
        <v>89</v>
      </c>
      <c r="C104" t="s">
        <v>86</v>
      </c>
      <c r="D104" t="s">
        <v>28</v>
      </c>
      <c r="E104">
        <v>2023</v>
      </c>
      <c r="K104" t="str">
        <f t="shared" si="3"/>
        <v/>
      </c>
      <c r="L104" t="s">
        <v>28</v>
      </c>
      <c r="M104" t="s">
        <v>106</v>
      </c>
    </row>
    <row r="105" spans="1:13" ht="10" customHeight="1">
      <c r="A105">
        <v>75</v>
      </c>
      <c r="B105" t="s">
        <v>89</v>
      </c>
      <c r="C105" t="s">
        <v>86</v>
      </c>
      <c r="D105" t="s">
        <v>28</v>
      </c>
      <c r="E105">
        <v>2024</v>
      </c>
      <c r="K105" t="str">
        <f t="shared" si="3"/>
        <v/>
      </c>
      <c r="L105" t="s">
        <v>28</v>
      </c>
      <c r="M105" t="s">
        <v>106</v>
      </c>
    </row>
    <row r="106" spans="1:13" ht="10" customHeight="1">
      <c r="A106">
        <v>75</v>
      </c>
      <c r="B106" t="s">
        <v>89</v>
      </c>
      <c r="C106" t="s">
        <v>86</v>
      </c>
      <c r="D106" t="s">
        <v>28</v>
      </c>
      <c r="E106">
        <v>2025</v>
      </c>
      <c r="K106" t="str">
        <f t="shared" si="3"/>
        <v/>
      </c>
      <c r="L106" t="s">
        <v>28</v>
      </c>
      <c r="M106" t="s">
        <v>106</v>
      </c>
    </row>
    <row r="107" spans="1:13" ht="10" customHeight="1">
      <c r="A107">
        <v>76</v>
      </c>
      <c r="B107" t="s">
        <v>90</v>
      </c>
      <c r="C107" t="s">
        <v>86</v>
      </c>
      <c r="D107" t="s">
        <v>28</v>
      </c>
      <c r="E107">
        <v>2023</v>
      </c>
      <c r="K107" t="str">
        <f t="shared" si="3"/>
        <v/>
      </c>
      <c r="L107" t="s">
        <v>28</v>
      </c>
      <c r="M107" t="s">
        <v>106</v>
      </c>
    </row>
    <row r="108" spans="1:13" ht="10" customHeight="1">
      <c r="A108">
        <v>76</v>
      </c>
      <c r="B108" t="s">
        <v>90</v>
      </c>
      <c r="C108" t="s">
        <v>86</v>
      </c>
      <c r="D108" t="s">
        <v>28</v>
      </c>
      <c r="E108">
        <v>2024</v>
      </c>
      <c r="K108" t="str">
        <f t="shared" si="3"/>
        <v/>
      </c>
      <c r="L108" t="s">
        <v>28</v>
      </c>
      <c r="M108" t="s">
        <v>106</v>
      </c>
    </row>
    <row r="109" spans="1:13" ht="10" customHeight="1">
      <c r="A109">
        <v>76</v>
      </c>
      <c r="B109" t="s">
        <v>90</v>
      </c>
      <c r="C109" t="s">
        <v>86</v>
      </c>
      <c r="D109" t="s">
        <v>28</v>
      </c>
      <c r="E109">
        <v>2025</v>
      </c>
      <c r="K109" t="str">
        <f t="shared" si="3"/>
        <v/>
      </c>
      <c r="L109" t="s">
        <v>28</v>
      </c>
      <c r="M109" t="s">
        <v>106</v>
      </c>
    </row>
    <row r="110" spans="1:13" ht="10" customHeight="1">
      <c r="A110">
        <v>77</v>
      </c>
      <c r="B110" t="s">
        <v>91</v>
      </c>
      <c r="C110" t="s">
        <v>86</v>
      </c>
      <c r="D110" t="s">
        <v>28</v>
      </c>
      <c r="E110">
        <v>2023</v>
      </c>
      <c r="K110" t="str">
        <f t="shared" si="3"/>
        <v/>
      </c>
      <c r="L110" t="s">
        <v>28</v>
      </c>
      <c r="M110" t="s">
        <v>106</v>
      </c>
    </row>
    <row r="111" spans="1:13" ht="10" customHeight="1">
      <c r="A111">
        <v>77</v>
      </c>
      <c r="B111" t="s">
        <v>91</v>
      </c>
      <c r="C111" t="s">
        <v>86</v>
      </c>
      <c r="D111" t="s">
        <v>28</v>
      </c>
      <c r="E111">
        <v>2024</v>
      </c>
      <c r="K111" t="str">
        <f t="shared" si="3"/>
        <v/>
      </c>
      <c r="L111" t="s">
        <v>28</v>
      </c>
      <c r="M111" t="s">
        <v>106</v>
      </c>
    </row>
    <row r="112" spans="1:13" ht="10" customHeight="1">
      <c r="A112">
        <v>77</v>
      </c>
      <c r="B112" t="s">
        <v>91</v>
      </c>
      <c r="C112" t="s">
        <v>86</v>
      </c>
      <c r="D112" t="s">
        <v>28</v>
      </c>
      <c r="E112">
        <v>2025</v>
      </c>
      <c r="K112" t="str">
        <f t="shared" si="3"/>
        <v/>
      </c>
      <c r="L112" t="s">
        <v>28</v>
      </c>
      <c r="M112" t="s">
        <v>106</v>
      </c>
    </row>
    <row r="113" spans="1:13" ht="10" customHeight="1">
      <c r="A113">
        <v>78</v>
      </c>
      <c r="B113" t="s">
        <v>55</v>
      </c>
      <c r="C113" t="s">
        <v>86</v>
      </c>
      <c r="D113" t="s">
        <v>56</v>
      </c>
      <c r="E113">
        <v>2023</v>
      </c>
      <c r="F113">
        <v>774.4</v>
      </c>
      <c r="K113" t="str">
        <f t="shared" si="3"/>
        <v/>
      </c>
      <c r="L113" t="s">
        <v>127</v>
      </c>
      <c r="M113" t="s">
        <v>128</v>
      </c>
    </row>
    <row r="114" spans="1:13" ht="10" customHeight="1">
      <c r="A114">
        <v>78</v>
      </c>
      <c r="B114" t="s">
        <v>55</v>
      </c>
      <c r="C114" t="s">
        <v>86</v>
      </c>
      <c r="D114" t="s">
        <v>56</v>
      </c>
      <c r="E114">
        <v>2024</v>
      </c>
      <c r="F114">
        <v>1400</v>
      </c>
      <c r="K114" t="str">
        <f t="shared" si="3"/>
        <v/>
      </c>
      <c r="L114" t="s">
        <v>127</v>
      </c>
      <c r="M114" t="s">
        <v>128</v>
      </c>
    </row>
    <row r="115" spans="1:13" ht="10" customHeight="1">
      <c r="A115">
        <v>78</v>
      </c>
      <c r="B115" t="s">
        <v>55</v>
      </c>
      <c r="C115" t="s">
        <v>86</v>
      </c>
      <c r="D115" t="s">
        <v>56</v>
      </c>
      <c r="E115">
        <v>2025</v>
      </c>
      <c r="K115" t="str">
        <f t="shared" si="3"/>
        <v/>
      </c>
      <c r="L115" t="s">
        <v>127</v>
      </c>
      <c r="M115" t="s">
        <v>129</v>
      </c>
    </row>
    <row r="116" spans="1:13" ht="10" customHeight="1">
      <c r="A116">
        <v>79</v>
      </c>
      <c r="B116" t="s">
        <v>92</v>
      </c>
      <c r="C116" t="s">
        <v>86</v>
      </c>
      <c r="D116" t="s">
        <v>28</v>
      </c>
      <c r="E116">
        <v>2023</v>
      </c>
      <c r="K116" t="str">
        <f t="shared" si="3"/>
        <v/>
      </c>
      <c r="L116" t="s">
        <v>28</v>
      </c>
      <c r="M116" t="s">
        <v>106</v>
      </c>
    </row>
    <row r="117" spans="1:13" ht="10" customHeight="1">
      <c r="A117">
        <v>79</v>
      </c>
      <c r="B117" t="s">
        <v>92</v>
      </c>
      <c r="C117" t="s">
        <v>86</v>
      </c>
      <c r="D117" t="s">
        <v>28</v>
      </c>
      <c r="E117">
        <v>2024</v>
      </c>
      <c r="K117" t="str">
        <f t="shared" si="3"/>
        <v/>
      </c>
      <c r="L117" t="s">
        <v>28</v>
      </c>
      <c r="M117" t="s">
        <v>106</v>
      </c>
    </row>
    <row r="118" spans="1:13" ht="10" customHeight="1">
      <c r="A118">
        <v>79</v>
      </c>
      <c r="B118" t="s">
        <v>92</v>
      </c>
      <c r="C118" t="s">
        <v>86</v>
      </c>
      <c r="D118" t="s">
        <v>28</v>
      </c>
      <c r="E118">
        <v>2025</v>
      </c>
      <c r="K118" t="str">
        <f t="shared" si="3"/>
        <v/>
      </c>
      <c r="L118" t="s">
        <v>28</v>
      </c>
      <c r="M118" t="s">
        <v>106</v>
      </c>
    </row>
    <row r="119" spans="1:13" ht="10" customHeight="1">
      <c r="A119">
        <v>80</v>
      </c>
      <c r="B119" t="s">
        <v>93</v>
      </c>
      <c r="C119" t="s">
        <v>86</v>
      </c>
      <c r="D119" t="s">
        <v>28</v>
      </c>
      <c r="E119">
        <v>2023</v>
      </c>
      <c r="K119" t="str">
        <f t="shared" si="3"/>
        <v/>
      </c>
      <c r="L119" t="s">
        <v>28</v>
      </c>
      <c r="M119" t="s">
        <v>106</v>
      </c>
    </row>
    <row r="120" spans="1:13" ht="10" customHeight="1">
      <c r="A120">
        <v>80</v>
      </c>
      <c r="B120" t="s">
        <v>93</v>
      </c>
      <c r="C120" t="s">
        <v>86</v>
      </c>
      <c r="D120" t="s">
        <v>28</v>
      </c>
      <c r="E120">
        <v>2024</v>
      </c>
      <c r="K120" t="str">
        <f t="shared" si="3"/>
        <v/>
      </c>
      <c r="L120" t="s">
        <v>28</v>
      </c>
      <c r="M120" t="s">
        <v>106</v>
      </c>
    </row>
    <row r="121" spans="1:13" ht="10" customHeight="1">
      <c r="A121">
        <v>80</v>
      </c>
      <c r="B121" t="s">
        <v>93</v>
      </c>
      <c r="C121" t="s">
        <v>86</v>
      </c>
      <c r="D121" t="s">
        <v>28</v>
      </c>
      <c r="E121">
        <v>2025</v>
      </c>
      <c r="K121" t="str">
        <f t="shared" si="3"/>
        <v/>
      </c>
      <c r="L121" t="s">
        <v>28</v>
      </c>
      <c r="M121" t="s">
        <v>106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topLeftCell="B1" workbookViewId="0"/>
  </sheetViews>
  <sheetFormatPr defaultRowHeight="14"/>
  <cols>
    <col min="1" max="1" width="10" customWidth="1"/>
    <col min="2" max="2" width="22" customWidth="1"/>
    <col min="3" max="3" width="42" customWidth="1"/>
    <col min="4" max="4" width="55" customWidth="1"/>
    <col min="5" max="8" width="18" customWidth="1"/>
    <col min="9" max="9" width="75" customWidth="1"/>
  </cols>
  <sheetData>
    <row r="1" spans="1:9" ht="17.649999999999999" customHeight="1">
      <c r="A1" s="3" t="s">
        <v>7</v>
      </c>
      <c r="B1" s="3" t="s">
        <v>94</v>
      </c>
      <c r="C1" s="3" t="s">
        <v>95</v>
      </c>
      <c r="D1" s="3" t="s">
        <v>96</v>
      </c>
      <c r="E1" s="4" t="s">
        <v>140</v>
      </c>
      <c r="F1" s="4" t="s">
        <v>141</v>
      </c>
      <c r="G1" s="4" t="s">
        <v>103</v>
      </c>
      <c r="H1" s="3" t="s">
        <v>142</v>
      </c>
      <c r="I1" s="3" t="s">
        <v>104</v>
      </c>
    </row>
    <row r="2" spans="1:9" ht="10" customHeight="1">
      <c r="A2">
        <v>45</v>
      </c>
      <c r="B2" t="s">
        <v>40</v>
      </c>
      <c r="C2" t="s">
        <v>41</v>
      </c>
      <c r="D2" t="s">
        <v>42</v>
      </c>
      <c r="E2">
        <v>4062.6</v>
      </c>
      <c r="F2">
        <v>0</v>
      </c>
      <c r="G2">
        <f t="shared" ref="G2:G41" si="0">IFERROR(IF(E2&gt;0,(E2-F2)/E2*100,IF(F2&gt;0,-100,"")),"")</f>
        <v>100</v>
      </c>
      <c r="H2">
        <v>3</v>
      </c>
      <c r="I2" t="s">
        <v>111</v>
      </c>
    </row>
    <row r="3" spans="1:9" ht="10" customHeight="1">
      <c r="A3">
        <v>49</v>
      </c>
      <c r="B3" t="s">
        <v>47</v>
      </c>
      <c r="C3" t="s">
        <v>46</v>
      </c>
      <c r="D3" t="s">
        <v>48</v>
      </c>
      <c r="E3">
        <v>118.7</v>
      </c>
      <c r="F3">
        <v>0</v>
      </c>
      <c r="G3">
        <f t="shared" si="0"/>
        <v>100</v>
      </c>
      <c r="H3">
        <v>2</v>
      </c>
      <c r="I3" t="s">
        <v>115</v>
      </c>
    </row>
    <row r="4" spans="1:9" ht="10" customHeight="1">
      <c r="A4">
        <v>51</v>
      </c>
      <c r="B4" t="s">
        <v>50</v>
      </c>
      <c r="C4" t="s">
        <v>46</v>
      </c>
      <c r="D4" t="s">
        <v>51</v>
      </c>
      <c r="E4">
        <v>12780</v>
      </c>
      <c r="F4">
        <v>0</v>
      </c>
      <c r="G4">
        <f t="shared" si="0"/>
        <v>100</v>
      </c>
      <c r="H4">
        <v>3</v>
      </c>
      <c r="I4" t="s">
        <v>119</v>
      </c>
    </row>
    <row r="5" spans="1:9" ht="10" customHeight="1">
      <c r="A5">
        <v>52</v>
      </c>
      <c r="B5" t="s">
        <v>52</v>
      </c>
      <c r="C5" t="s">
        <v>46</v>
      </c>
      <c r="D5" t="s">
        <v>53</v>
      </c>
      <c r="E5">
        <v>45530</v>
      </c>
      <c r="F5">
        <v>0</v>
      </c>
      <c r="G5">
        <f t="shared" si="0"/>
        <v>100</v>
      </c>
      <c r="H5">
        <v>3</v>
      </c>
      <c r="I5" t="s">
        <v>123</v>
      </c>
    </row>
    <row r="6" spans="1:9" ht="10" customHeight="1">
      <c r="A6">
        <v>59</v>
      </c>
      <c r="B6" t="s">
        <v>40</v>
      </c>
      <c r="C6" t="s">
        <v>60</v>
      </c>
      <c r="D6" t="s">
        <v>42</v>
      </c>
      <c r="E6">
        <v>4062.6</v>
      </c>
      <c r="F6">
        <v>0</v>
      </c>
      <c r="G6">
        <f t="shared" si="0"/>
        <v>100</v>
      </c>
      <c r="H6">
        <v>3</v>
      </c>
      <c r="I6" t="s">
        <v>111</v>
      </c>
    </row>
    <row r="7" spans="1:9" ht="10" customHeight="1">
      <c r="A7">
        <v>68</v>
      </c>
      <c r="B7" t="s">
        <v>78</v>
      </c>
      <c r="C7" t="s">
        <v>79</v>
      </c>
      <c r="D7" t="s">
        <v>80</v>
      </c>
      <c r="E7">
        <v>8552.1</v>
      </c>
      <c r="F7">
        <v>0</v>
      </c>
      <c r="G7">
        <f t="shared" si="0"/>
        <v>100</v>
      </c>
      <c r="H7">
        <v>3</v>
      </c>
      <c r="I7" t="s">
        <v>133</v>
      </c>
    </row>
    <row r="8" spans="1:9" ht="10" customHeight="1">
      <c r="A8">
        <v>71</v>
      </c>
      <c r="B8" t="s">
        <v>52</v>
      </c>
      <c r="C8" t="s">
        <v>85</v>
      </c>
      <c r="D8" t="s">
        <v>53</v>
      </c>
      <c r="E8">
        <v>45530</v>
      </c>
      <c r="F8">
        <v>0</v>
      </c>
      <c r="G8">
        <f t="shared" si="0"/>
        <v>100</v>
      </c>
      <c r="H8">
        <v>3</v>
      </c>
      <c r="I8" t="s">
        <v>123</v>
      </c>
    </row>
    <row r="9" spans="1:9" ht="10" customHeight="1">
      <c r="A9">
        <v>73</v>
      </c>
      <c r="B9" t="s">
        <v>50</v>
      </c>
      <c r="C9" t="s">
        <v>85</v>
      </c>
      <c r="D9" t="s">
        <v>51</v>
      </c>
      <c r="E9">
        <v>12780</v>
      </c>
      <c r="F9">
        <v>0</v>
      </c>
      <c r="G9">
        <f t="shared" si="0"/>
        <v>100</v>
      </c>
      <c r="H9">
        <v>3</v>
      </c>
      <c r="I9" t="s">
        <v>119</v>
      </c>
    </row>
    <row r="10" spans="1:9" ht="20" customHeight="1">
      <c r="A10">
        <v>42</v>
      </c>
      <c r="B10" t="s">
        <v>30</v>
      </c>
      <c r="C10" t="s">
        <v>31</v>
      </c>
      <c r="D10" t="s">
        <v>33</v>
      </c>
      <c r="E10">
        <v>21.7</v>
      </c>
      <c r="F10">
        <v>2.7</v>
      </c>
      <c r="G10">
        <f t="shared" si="0"/>
        <v>87.557603686635943</v>
      </c>
      <c r="H10">
        <v>3</v>
      </c>
      <c r="I10" t="s">
        <v>107</v>
      </c>
    </row>
    <row r="11" spans="1:9" ht="10" customHeight="1">
      <c r="A11">
        <v>64</v>
      </c>
      <c r="B11" t="s">
        <v>70</v>
      </c>
      <c r="C11" t="s">
        <v>69</v>
      </c>
      <c r="D11" t="s">
        <v>71</v>
      </c>
      <c r="E11">
        <v>0</v>
      </c>
      <c r="F11">
        <v>0.71</v>
      </c>
      <c r="G11">
        <f t="shared" si="0"/>
        <v>-100</v>
      </c>
      <c r="H11">
        <v>1</v>
      </c>
      <c r="I11" t="s">
        <v>130</v>
      </c>
    </row>
    <row r="12" spans="1:9" ht="10" customHeight="1">
      <c r="A12">
        <v>3</v>
      </c>
      <c r="B12" t="s">
        <v>24</v>
      </c>
      <c r="C12" t="s">
        <v>25</v>
      </c>
      <c r="D12" t="s">
        <v>28</v>
      </c>
      <c r="E12">
        <v>0</v>
      </c>
      <c r="F12">
        <v>0</v>
      </c>
      <c r="G12" t="str">
        <f t="shared" si="0"/>
        <v/>
      </c>
      <c r="H12">
        <v>0</v>
      </c>
      <c r="I12" t="s">
        <v>28</v>
      </c>
    </row>
    <row r="13" spans="1:9" ht="10" customHeight="1">
      <c r="A13">
        <v>43</v>
      </c>
      <c r="B13" t="s">
        <v>35</v>
      </c>
      <c r="C13" t="s">
        <v>36</v>
      </c>
      <c r="D13" t="s">
        <v>28</v>
      </c>
      <c r="E13">
        <v>0</v>
      </c>
      <c r="F13">
        <v>0</v>
      </c>
      <c r="G13" t="str">
        <f t="shared" si="0"/>
        <v/>
      </c>
      <c r="H13">
        <v>0</v>
      </c>
      <c r="I13" t="s">
        <v>28</v>
      </c>
    </row>
    <row r="14" spans="1:9" ht="10" customHeight="1">
      <c r="A14">
        <v>44</v>
      </c>
      <c r="B14" t="s">
        <v>37</v>
      </c>
      <c r="C14" t="s">
        <v>38</v>
      </c>
      <c r="D14" t="s">
        <v>28</v>
      </c>
      <c r="E14">
        <v>0</v>
      </c>
      <c r="F14">
        <v>0</v>
      </c>
      <c r="G14" t="str">
        <f t="shared" si="0"/>
        <v/>
      </c>
      <c r="H14">
        <v>0</v>
      </c>
      <c r="I14" t="s">
        <v>28</v>
      </c>
    </row>
    <row r="15" spans="1:9" ht="10" customHeight="1">
      <c r="A15">
        <v>46</v>
      </c>
      <c r="B15" t="s">
        <v>43</v>
      </c>
      <c r="C15" t="s">
        <v>41</v>
      </c>
      <c r="D15" t="s">
        <v>28</v>
      </c>
      <c r="E15">
        <v>0</v>
      </c>
      <c r="F15">
        <v>0</v>
      </c>
      <c r="G15" t="str">
        <f t="shared" si="0"/>
        <v/>
      </c>
      <c r="H15">
        <v>0</v>
      </c>
      <c r="I15" t="s">
        <v>28</v>
      </c>
    </row>
    <row r="16" spans="1:9" ht="10" customHeight="1">
      <c r="A16">
        <v>47</v>
      </c>
      <c r="B16" t="s">
        <v>44</v>
      </c>
      <c r="C16" t="s">
        <v>41</v>
      </c>
      <c r="D16" t="s">
        <v>28</v>
      </c>
      <c r="E16">
        <v>0</v>
      </c>
      <c r="F16">
        <v>0</v>
      </c>
      <c r="G16" t="str">
        <f t="shared" si="0"/>
        <v/>
      </c>
      <c r="H16">
        <v>0</v>
      </c>
      <c r="I16" t="s">
        <v>28</v>
      </c>
    </row>
    <row r="17" spans="1:9" ht="10" customHeight="1">
      <c r="A17">
        <v>48</v>
      </c>
      <c r="B17" t="s">
        <v>45</v>
      </c>
      <c r="C17" t="s">
        <v>46</v>
      </c>
      <c r="D17" t="s">
        <v>28</v>
      </c>
      <c r="E17">
        <v>0</v>
      </c>
      <c r="F17">
        <v>0</v>
      </c>
      <c r="G17" t="str">
        <f t="shared" si="0"/>
        <v/>
      </c>
      <c r="H17">
        <v>0</v>
      </c>
      <c r="I17" t="s">
        <v>28</v>
      </c>
    </row>
    <row r="18" spans="1:9" ht="10" customHeight="1">
      <c r="A18">
        <v>50</v>
      </c>
      <c r="B18" t="s">
        <v>49</v>
      </c>
      <c r="C18" t="s">
        <v>46</v>
      </c>
      <c r="D18" t="s">
        <v>28</v>
      </c>
      <c r="E18">
        <v>0</v>
      </c>
      <c r="F18">
        <v>0</v>
      </c>
      <c r="G18" t="str">
        <f t="shared" si="0"/>
        <v/>
      </c>
      <c r="H18">
        <v>0</v>
      </c>
      <c r="I18" t="s">
        <v>28</v>
      </c>
    </row>
    <row r="19" spans="1:9" ht="10" customHeight="1">
      <c r="A19">
        <v>53</v>
      </c>
      <c r="B19" t="s">
        <v>54</v>
      </c>
      <c r="C19" t="s">
        <v>46</v>
      </c>
      <c r="D19" t="s">
        <v>28</v>
      </c>
      <c r="E19">
        <v>0</v>
      </c>
      <c r="F19">
        <v>0</v>
      </c>
      <c r="G19" t="str">
        <f t="shared" si="0"/>
        <v/>
      </c>
      <c r="H19">
        <v>0</v>
      </c>
      <c r="I19" t="s">
        <v>28</v>
      </c>
    </row>
    <row r="20" spans="1:9" ht="10" customHeight="1">
      <c r="A20">
        <v>54</v>
      </c>
      <c r="B20" t="s">
        <v>55</v>
      </c>
      <c r="C20" t="s">
        <v>46</v>
      </c>
      <c r="D20" t="s">
        <v>56</v>
      </c>
      <c r="E20">
        <v>0</v>
      </c>
      <c r="F20">
        <v>0</v>
      </c>
      <c r="G20" t="str">
        <f t="shared" si="0"/>
        <v/>
      </c>
      <c r="H20">
        <v>2</v>
      </c>
      <c r="I20" t="s">
        <v>127</v>
      </c>
    </row>
    <row r="21" spans="1:9" ht="10" customHeight="1">
      <c r="A21">
        <v>55</v>
      </c>
      <c r="B21" t="s">
        <v>57</v>
      </c>
      <c r="C21" t="s">
        <v>46</v>
      </c>
      <c r="D21" t="s">
        <v>28</v>
      </c>
      <c r="E21">
        <v>0</v>
      </c>
      <c r="F21">
        <v>0</v>
      </c>
      <c r="G21" t="str">
        <f t="shared" si="0"/>
        <v/>
      </c>
      <c r="H21">
        <v>0</v>
      </c>
      <c r="I21" t="s">
        <v>28</v>
      </c>
    </row>
    <row r="22" spans="1:9" ht="10" customHeight="1">
      <c r="A22">
        <v>56</v>
      </c>
      <c r="B22" t="s">
        <v>58</v>
      </c>
      <c r="C22" t="s">
        <v>46</v>
      </c>
      <c r="D22" t="s">
        <v>28</v>
      </c>
      <c r="E22">
        <v>0</v>
      </c>
      <c r="F22">
        <v>0</v>
      </c>
      <c r="G22" t="str">
        <f t="shared" si="0"/>
        <v/>
      </c>
      <c r="H22">
        <v>0</v>
      </c>
      <c r="I22" t="s">
        <v>28</v>
      </c>
    </row>
    <row r="23" spans="1:9" ht="10" customHeight="1">
      <c r="A23">
        <v>57</v>
      </c>
      <c r="B23" t="s">
        <v>59</v>
      </c>
      <c r="C23" t="s">
        <v>46</v>
      </c>
      <c r="D23" t="s">
        <v>28</v>
      </c>
      <c r="E23">
        <v>0</v>
      </c>
      <c r="F23">
        <v>0</v>
      </c>
      <c r="G23" t="str">
        <f t="shared" si="0"/>
        <v/>
      </c>
      <c r="H23">
        <v>0</v>
      </c>
      <c r="I23" t="s">
        <v>28</v>
      </c>
    </row>
    <row r="24" spans="1:9" ht="10" customHeight="1">
      <c r="A24">
        <v>58</v>
      </c>
      <c r="B24" t="s">
        <v>57</v>
      </c>
      <c r="C24" t="s">
        <v>46</v>
      </c>
      <c r="D24" t="s">
        <v>28</v>
      </c>
      <c r="E24">
        <v>0</v>
      </c>
      <c r="F24">
        <v>0</v>
      </c>
      <c r="G24" t="str">
        <f t="shared" si="0"/>
        <v/>
      </c>
      <c r="H24">
        <v>0</v>
      </c>
      <c r="I24" t="s">
        <v>28</v>
      </c>
    </row>
    <row r="25" spans="1:9" ht="10" customHeight="1">
      <c r="A25">
        <v>60</v>
      </c>
      <c r="B25" t="s">
        <v>61</v>
      </c>
      <c r="C25" t="s">
        <v>62</v>
      </c>
      <c r="D25" t="s">
        <v>28</v>
      </c>
      <c r="E25">
        <v>0</v>
      </c>
      <c r="F25">
        <v>0</v>
      </c>
      <c r="G25" t="str">
        <f t="shared" si="0"/>
        <v/>
      </c>
      <c r="H25">
        <v>0</v>
      </c>
      <c r="I25" t="s">
        <v>28</v>
      </c>
    </row>
    <row r="26" spans="1:9" ht="10" customHeight="1">
      <c r="A26">
        <v>61</v>
      </c>
      <c r="B26" t="s">
        <v>63</v>
      </c>
      <c r="C26" t="s">
        <v>64</v>
      </c>
      <c r="D26" t="s">
        <v>28</v>
      </c>
      <c r="E26">
        <v>0</v>
      </c>
      <c r="F26">
        <v>0</v>
      </c>
      <c r="G26" t="str">
        <f t="shared" si="0"/>
        <v/>
      </c>
      <c r="H26">
        <v>0</v>
      </c>
      <c r="I26" t="s">
        <v>28</v>
      </c>
    </row>
    <row r="27" spans="1:9" ht="10" customHeight="1">
      <c r="A27">
        <v>62</v>
      </c>
      <c r="B27" t="s">
        <v>65</v>
      </c>
      <c r="C27" t="s">
        <v>66</v>
      </c>
      <c r="D27" t="s">
        <v>28</v>
      </c>
      <c r="E27">
        <v>0</v>
      </c>
      <c r="F27">
        <v>0</v>
      </c>
      <c r="G27" t="str">
        <f t="shared" si="0"/>
        <v/>
      </c>
      <c r="H27">
        <v>0</v>
      </c>
      <c r="I27" t="s">
        <v>28</v>
      </c>
    </row>
    <row r="28" spans="1:9" ht="10" customHeight="1">
      <c r="A28">
        <v>63</v>
      </c>
      <c r="B28" t="s">
        <v>68</v>
      </c>
      <c r="C28" t="s">
        <v>69</v>
      </c>
      <c r="D28" t="s">
        <v>28</v>
      </c>
      <c r="E28">
        <v>0</v>
      </c>
      <c r="F28">
        <v>0</v>
      </c>
      <c r="G28" t="str">
        <f t="shared" si="0"/>
        <v/>
      </c>
      <c r="H28">
        <v>0</v>
      </c>
      <c r="I28" t="s">
        <v>28</v>
      </c>
    </row>
    <row r="29" spans="1:9" ht="10" customHeight="1">
      <c r="A29">
        <v>65</v>
      </c>
      <c r="B29" t="s">
        <v>72</v>
      </c>
      <c r="C29" t="s">
        <v>73</v>
      </c>
      <c r="D29" t="s">
        <v>28</v>
      </c>
      <c r="E29">
        <v>0</v>
      </c>
      <c r="F29">
        <v>0</v>
      </c>
      <c r="G29" t="str">
        <f t="shared" si="0"/>
        <v/>
      </c>
      <c r="H29">
        <v>0</v>
      </c>
      <c r="I29" t="s">
        <v>28</v>
      </c>
    </row>
    <row r="30" spans="1:9" ht="10" customHeight="1">
      <c r="A30">
        <v>66</v>
      </c>
      <c r="B30" t="s">
        <v>74</v>
      </c>
      <c r="C30" t="s">
        <v>75</v>
      </c>
      <c r="D30" t="s">
        <v>28</v>
      </c>
      <c r="E30">
        <v>0</v>
      </c>
      <c r="F30">
        <v>0</v>
      </c>
      <c r="G30" t="str">
        <f t="shared" si="0"/>
        <v/>
      </c>
      <c r="H30">
        <v>0</v>
      </c>
      <c r="I30" t="s">
        <v>28</v>
      </c>
    </row>
    <row r="31" spans="1:9" ht="10" customHeight="1">
      <c r="A31">
        <v>67</v>
      </c>
      <c r="B31" t="s">
        <v>76</v>
      </c>
      <c r="C31" t="s">
        <v>77</v>
      </c>
      <c r="D31" t="s">
        <v>28</v>
      </c>
      <c r="E31">
        <v>0</v>
      </c>
      <c r="F31">
        <v>0</v>
      </c>
      <c r="G31" t="str">
        <f t="shared" si="0"/>
        <v/>
      </c>
      <c r="H31">
        <v>0</v>
      </c>
      <c r="I31" t="s">
        <v>28</v>
      </c>
    </row>
    <row r="32" spans="1:9" ht="10" customHeight="1">
      <c r="A32">
        <v>69</v>
      </c>
      <c r="B32" t="s">
        <v>81</v>
      </c>
      <c r="C32" t="s">
        <v>82</v>
      </c>
      <c r="D32" t="s">
        <v>28</v>
      </c>
      <c r="E32">
        <v>0</v>
      </c>
      <c r="F32">
        <v>0</v>
      </c>
      <c r="G32" t="str">
        <f t="shared" si="0"/>
        <v/>
      </c>
      <c r="H32">
        <v>0</v>
      </c>
      <c r="I32" t="s">
        <v>28</v>
      </c>
    </row>
    <row r="33" spans="1:9" ht="10" customHeight="1">
      <c r="A33">
        <v>70</v>
      </c>
      <c r="B33" t="s">
        <v>83</v>
      </c>
      <c r="C33" t="s">
        <v>84</v>
      </c>
      <c r="D33" t="s">
        <v>28</v>
      </c>
      <c r="E33">
        <v>0</v>
      </c>
      <c r="F33">
        <v>0</v>
      </c>
      <c r="G33" t="str">
        <f t="shared" si="0"/>
        <v/>
      </c>
      <c r="H33">
        <v>0</v>
      </c>
      <c r="I33" t="s">
        <v>28</v>
      </c>
    </row>
    <row r="34" spans="1:9" ht="10" customHeight="1">
      <c r="A34">
        <v>72</v>
      </c>
      <c r="B34" t="s">
        <v>57</v>
      </c>
      <c r="C34" t="s">
        <v>86</v>
      </c>
      <c r="D34" t="s">
        <v>28</v>
      </c>
      <c r="E34">
        <v>0</v>
      </c>
      <c r="F34">
        <v>0</v>
      </c>
      <c r="G34" t="str">
        <f t="shared" si="0"/>
        <v/>
      </c>
      <c r="H34">
        <v>0</v>
      </c>
      <c r="I34" t="s">
        <v>28</v>
      </c>
    </row>
    <row r="35" spans="1:9" ht="10" customHeight="1">
      <c r="A35">
        <v>74</v>
      </c>
      <c r="B35" t="s">
        <v>87</v>
      </c>
      <c r="C35" t="s">
        <v>86</v>
      </c>
      <c r="D35" t="s">
        <v>88</v>
      </c>
      <c r="E35">
        <v>0</v>
      </c>
      <c r="F35">
        <v>0</v>
      </c>
      <c r="G35" t="str">
        <f t="shared" si="0"/>
        <v/>
      </c>
      <c r="H35">
        <v>3</v>
      </c>
      <c r="I35" t="s">
        <v>136</v>
      </c>
    </row>
    <row r="36" spans="1:9" ht="10" customHeight="1">
      <c r="A36">
        <v>75</v>
      </c>
      <c r="B36" t="s">
        <v>89</v>
      </c>
      <c r="C36" t="s">
        <v>86</v>
      </c>
      <c r="D36" t="s">
        <v>28</v>
      </c>
      <c r="E36">
        <v>0</v>
      </c>
      <c r="F36">
        <v>0</v>
      </c>
      <c r="G36" t="str">
        <f t="shared" si="0"/>
        <v/>
      </c>
      <c r="H36">
        <v>0</v>
      </c>
      <c r="I36" t="s">
        <v>28</v>
      </c>
    </row>
    <row r="37" spans="1:9" ht="10" customHeight="1">
      <c r="A37">
        <v>76</v>
      </c>
      <c r="B37" t="s">
        <v>90</v>
      </c>
      <c r="C37" t="s">
        <v>86</v>
      </c>
      <c r="D37" t="s">
        <v>28</v>
      </c>
      <c r="E37">
        <v>0</v>
      </c>
      <c r="F37">
        <v>0</v>
      </c>
      <c r="G37" t="str">
        <f t="shared" si="0"/>
        <v/>
      </c>
      <c r="H37">
        <v>0</v>
      </c>
      <c r="I37" t="s">
        <v>28</v>
      </c>
    </row>
    <row r="38" spans="1:9" ht="10" customHeight="1">
      <c r="A38">
        <v>77</v>
      </c>
      <c r="B38" t="s">
        <v>91</v>
      </c>
      <c r="C38" t="s">
        <v>86</v>
      </c>
      <c r="D38" t="s">
        <v>28</v>
      </c>
      <c r="E38">
        <v>0</v>
      </c>
      <c r="F38">
        <v>0</v>
      </c>
      <c r="G38" t="str">
        <f t="shared" si="0"/>
        <v/>
      </c>
      <c r="H38">
        <v>0</v>
      </c>
      <c r="I38" t="s">
        <v>28</v>
      </c>
    </row>
    <row r="39" spans="1:9" ht="10" customHeight="1">
      <c r="A39">
        <v>78</v>
      </c>
      <c r="B39" t="s">
        <v>55</v>
      </c>
      <c r="C39" t="s">
        <v>86</v>
      </c>
      <c r="D39" t="s">
        <v>56</v>
      </c>
      <c r="E39">
        <v>0</v>
      </c>
      <c r="F39">
        <v>0</v>
      </c>
      <c r="G39" t="str">
        <f t="shared" si="0"/>
        <v/>
      </c>
      <c r="H39">
        <v>2</v>
      </c>
      <c r="I39" t="s">
        <v>127</v>
      </c>
    </row>
    <row r="40" spans="1:9" ht="10" customHeight="1">
      <c r="A40">
        <v>79</v>
      </c>
      <c r="B40" t="s">
        <v>92</v>
      </c>
      <c r="C40" t="s">
        <v>86</v>
      </c>
      <c r="D40" t="s">
        <v>28</v>
      </c>
      <c r="E40">
        <v>0</v>
      </c>
      <c r="F40">
        <v>0</v>
      </c>
      <c r="G40" t="str">
        <f t="shared" si="0"/>
        <v/>
      </c>
      <c r="H40">
        <v>0</v>
      </c>
      <c r="I40" t="s">
        <v>28</v>
      </c>
    </row>
    <row r="41" spans="1:9" ht="10" customHeight="1">
      <c r="A41">
        <v>80</v>
      </c>
      <c r="B41" t="s">
        <v>93</v>
      </c>
      <c r="C41" t="s">
        <v>86</v>
      </c>
      <c r="D41" t="s">
        <v>28</v>
      </c>
      <c r="E41">
        <v>0</v>
      </c>
      <c r="F41">
        <v>0</v>
      </c>
      <c r="G41" t="str">
        <f t="shared" si="0"/>
        <v/>
      </c>
      <c r="H41">
        <v>0</v>
      </c>
      <c r="I41" t="s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8"/>
  <sheetViews>
    <sheetView workbookViewId="0"/>
  </sheetViews>
  <sheetFormatPr defaultRowHeight="14"/>
  <cols>
    <col min="1" max="1" width="18" customWidth="1"/>
    <col min="2" max="2" width="12" customWidth="1"/>
    <col min="3" max="3" width="22" customWidth="1"/>
    <col min="4" max="4" width="35" customWidth="1"/>
    <col min="5" max="5" width="52" customWidth="1"/>
    <col min="6" max="11" width="17" customWidth="1"/>
    <col min="12" max="12" width="65" customWidth="1"/>
    <col min="13" max="13" width="50" customWidth="1"/>
  </cols>
  <sheetData>
    <row r="1" spans="1:21" ht="26.4" customHeight="1">
      <c r="A1" s="3" t="s">
        <v>143</v>
      </c>
      <c r="B1" s="3" t="s">
        <v>7</v>
      </c>
      <c r="C1" s="3" t="s">
        <v>94</v>
      </c>
      <c r="D1" s="3" t="s">
        <v>95</v>
      </c>
      <c r="E1" s="3" t="s">
        <v>96</v>
      </c>
      <c r="F1" s="4" t="s">
        <v>140</v>
      </c>
      <c r="G1" s="4" t="s">
        <v>141</v>
      </c>
      <c r="H1" s="4" t="s">
        <v>103</v>
      </c>
      <c r="I1" s="4" t="s">
        <v>142</v>
      </c>
      <c r="J1" s="4" t="s">
        <v>104</v>
      </c>
      <c r="K1" s="7"/>
      <c r="L1" s="2"/>
      <c r="M1" s="2"/>
      <c r="O1" s="8" t="s">
        <v>97</v>
      </c>
      <c r="P1" s="8" t="s">
        <v>40</v>
      </c>
      <c r="Q1" s="8" t="s">
        <v>47</v>
      </c>
      <c r="R1" s="8" t="s">
        <v>50</v>
      </c>
      <c r="S1" s="8" t="s">
        <v>52</v>
      </c>
      <c r="T1" s="8" t="s">
        <v>30</v>
      </c>
      <c r="U1" s="8" t="s">
        <v>70</v>
      </c>
    </row>
    <row r="2" spans="1:21" ht="10" customHeight="1">
      <c r="A2" t="s">
        <v>144</v>
      </c>
      <c r="B2">
        <v>45</v>
      </c>
      <c r="C2" t="s">
        <v>40</v>
      </c>
      <c r="D2" t="s">
        <v>41</v>
      </c>
      <c r="E2" t="s">
        <v>42</v>
      </c>
      <c r="F2">
        <v>4062.6</v>
      </c>
      <c r="G2">
        <v>0</v>
      </c>
      <c r="H2">
        <v>100</v>
      </c>
      <c r="I2">
        <v>3</v>
      </c>
      <c r="J2" t="s">
        <v>111</v>
      </c>
      <c r="O2" s="6">
        <v>2023</v>
      </c>
      <c r="P2" s="6">
        <v>74470</v>
      </c>
      <c r="Q2" s="6"/>
      <c r="R2" s="6">
        <v>20170</v>
      </c>
      <c r="S2" s="6">
        <v>155750</v>
      </c>
      <c r="T2" s="6">
        <v>1590</v>
      </c>
      <c r="U2" s="6"/>
    </row>
    <row r="3" spans="1:21" ht="10" customHeight="1">
      <c r="A3" t="s">
        <v>144</v>
      </c>
      <c r="B3">
        <v>49</v>
      </c>
      <c r="C3" t="s">
        <v>47</v>
      </c>
      <c r="D3" t="s">
        <v>46</v>
      </c>
      <c r="E3" t="s">
        <v>48</v>
      </c>
      <c r="F3">
        <v>118.7</v>
      </c>
      <c r="G3">
        <v>0</v>
      </c>
      <c r="H3">
        <v>100</v>
      </c>
      <c r="I3">
        <v>2</v>
      </c>
      <c r="J3" t="s">
        <v>115</v>
      </c>
      <c r="O3" s="6">
        <v>2024</v>
      </c>
      <c r="P3" s="6">
        <v>90260</v>
      </c>
      <c r="Q3" s="6">
        <v>1574.8</v>
      </c>
      <c r="R3" s="6">
        <v>25900</v>
      </c>
      <c r="S3" s="6">
        <v>187360</v>
      </c>
      <c r="T3" s="6">
        <v>2021.3</v>
      </c>
      <c r="U3" s="6"/>
    </row>
    <row r="4" spans="1:21" ht="10" customHeight="1">
      <c r="A4" t="s">
        <v>145</v>
      </c>
      <c r="B4">
        <v>51</v>
      </c>
      <c r="C4" t="s">
        <v>50</v>
      </c>
      <c r="D4" t="s">
        <v>46</v>
      </c>
      <c r="E4" t="s">
        <v>51</v>
      </c>
      <c r="F4">
        <v>12780</v>
      </c>
      <c r="G4">
        <v>0</v>
      </c>
      <c r="H4">
        <v>100</v>
      </c>
      <c r="I4">
        <v>3</v>
      </c>
      <c r="J4" t="s">
        <v>119</v>
      </c>
      <c r="O4" s="6">
        <v>2025</v>
      </c>
      <c r="P4" s="6">
        <v>104000</v>
      </c>
      <c r="Q4" s="6">
        <v>2000</v>
      </c>
      <c r="R4" s="6">
        <v>30800</v>
      </c>
      <c r="S4" s="6">
        <v>218600</v>
      </c>
      <c r="T4" s="6">
        <v>1900</v>
      </c>
      <c r="U4" s="6">
        <v>0</v>
      </c>
    </row>
    <row r="5" spans="1:21" ht="10" customHeight="1">
      <c r="A5" t="s">
        <v>145</v>
      </c>
      <c r="B5">
        <v>52</v>
      </c>
      <c r="C5" t="s">
        <v>52</v>
      </c>
      <c r="D5" t="s">
        <v>46</v>
      </c>
      <c r="E5" t="s">
        <v>53</v>
      </c>
      <c r="F5">
        <v>45530</v>
      </c>
      <c r="G5">
        <v>0</v>
      </c>
      <c r="H5">
        <v>100</v>
      </c>
      <c r="I5">
        <v>3</v>
      </c>
      <c r="J5" t="s">
        <v>123</v>
      </c>
      <c r="O5" s="6"/>
      <c r="P5" s="6"/>
      <c r="Q5" s="6"/>
      <c r="R5" s="6"/>
      <c r="S5" s="6"/>
      <c r="T5" s="6"/>
      <c r="U5" s="6"/>
    </row>
    <row r="6" spans="1:21" ht="20" customHeight="1">
      <c r="A6" t="s">
        <v>146</v>
      </c>
      <c r="B6">
        <v>42</v>
      </c>
      <c r="C6" t="s">
        <v>30</v>
      </c>
      <c r="D6" t="s">
        <v>31</v>
      </c>
      <c r="E6" t="s">
        <v>33</v>
      </c>
      <c r="F6">
        <v>21.7</v>
      </c>
      <c r="G6">
        <v>2.7</v>
      </c>
      <c r="H6">
        <v>87.56</v>
      </c>
      <c r="I6">
        <v>3</v>
      </c>
      <c r="J6" t="s">
        <v>107</v>
      </c>
      <c r="O6" s="6"/>
      <c r="P6" s="6"/>
      <c r="Q6" s="6"/>
      <c r="R6" s="6"/>
      <c r="S6" s="6"/>
      <c r="T6" s="6"/>
      <c r="U6" s="6"/>
    </row>
    <row r="7" spans="1:21" ht="42">
      <c r="A7" t="s">
        <v>146</v>
      </c>
      <c r="B7">
        <v>64</v>
      </c>
      <c r="C7" t="s">
        <v>70</v>
      </c>
      <c r="D7" t="s">
        <v>69</v>
      </c>
      <c r="E7" t="s">
        <v>71</v>
      </c>
      <c r="F7">
        <v>0</v>
      </c>
      <c r="G7">
        <v>0.71</v>
      </c>
      <c r="H7">
        <v>-100</v>
      </c>
      <c r="I7">
        <v>1</v>
      </c>
      <c r="J7" t="s">
        <v>130</v>
      </c>
      <c r="O7" s="8" t="s">
        <v>97</v>
      </c>
      <c r="P7" s="8" t="s">
        <v>40</v>
      </c>
      <c r="Q7" s="8" t="s">
        <v>47</v>
      </c>
      <c r="R7" s="8" t="s">
        <v>50</v>
      </c>
      <c r="S7" s="8" t="s">
        <v>52</v>
      </c>
      <c r="T7" s="8" t="s">
        <v>30</v>
      </c>
      <c r="U7" s="8" t="s">
        <v>70</v>
      </c>
    </row>
    <row r="8" spans="1:21">
      <c r="O8" s="6">
        <v>2023</v>
      </c>
      <c r="P8" s="6">
        <v>1795</v>
      </c>
      <c r="Q8" s="6"/>
      <c r="R8" s="6">
        <v>3000</v>
      </c>
      <c r="S8" s="6">
        <v>14170</v>
      </c>
      <c r="T8" s="6"/>
      <c r="U8" s="6"/>
    </row>
    <row r="9" spans="1:21" ht="10" customHeight="1">
      <c r="O9" s="6">
        <v>2024</v>
      </c>
      <c r="P9" s="6">
        <v>1630</v>
      </c>
      <c r="Q9" s="6">
        <v>62.8</v>
      </c>
      <c r="R9" s="6">
        <v>5680</v>
      </c>
      <c r="S9" s="6">
        <v>16960</v>
      </c>
      <c r="T9" s="6">
        <v>21.7</v>
      </c>
      <c r="U9" s="6"/>
    </row>
    <row r="10" spans="1:21" ht="17.649999999999999" customHeight="1">
      <c r="A10" s="5" t="s">
        <v>7</v>
      </c>
      <c r="B10" s="5" t="s">
        <v>94</v>
      </c>
      <c r="C10" s="5" t="s">
        <v>95</v>
      </c>
      <c r="D10" s="5" t="s">
        <v>96</v>
      </c>
      <c r="E10" s="5" t="s">
        <v>97</v>
      </c>
      <c r="F10" s="5" t="s">
        <v>98</v>
      </c>
      <c r="G10" s="5" t="s">
        <v>99</v>
      </c>
      <c r="H10" s="5" t="s">
        <v>100</v>
      </c>
      <c r="I10" s="5" t="s">
        <v>101</v>
      </c>
      <c r="J10" s="5" t="s">
        <v>102</v>
      </c>
      <c r="K10" s="5" t="s">
        <v>103</v>
      </c>
      <c r="L10" s="5" t="s">
        <v>104</v>
      </c>
      <c r="M10" s="5" t="s">
        <v>105</v>
      </c>
      <c r="O10" s="6">
        <v>2025</v>
      </c>
      <c r="P10" s="6">
        <v>637.6</v>
      </c>
      <c r="Q10" s="6">
        <v>55.9</v>
      </c>
      <c r="R10" s="6">
        <v>4100</v>
      </c>
      <c r="S10" s="6">
        <v>14400</v>
      </c>
      <c r="T10" s="6">
        <v>-2.7</v>
      </c>
      <c r="U10" s="6">
        <v>-0.70899999999999996</v>
      </c>
    </row>
    <row r="11" spans="1:21" ht="20" customHeight="1">
      <c r="A11">
        <v>42</v>
      </c>
      <c r="B11" t="s">
        <v>30</v>
      </c>
      <c r="C11" t="s">
        <v>31</v>
      </c>
      <c r="D11" t="s">
        <v>33</v>
      </c>
      <c r="E11">
        <v>2023</v>
      </c>
      <c r="F11">
        <v>1590</v>
      </c>
      <c r="K11" t="str">
        <f t="shared" ref="K11:K28" si="0">IFERROR(IF(H11&gt;0,(H11-I11)/H11*100,IF(I11&gt;0,-100,"")),"")</f>
        <v/>
      </c>
      <c r="L11" t="s">
        <v>107</v>
      </c>
      <c r="M11" t="s">
        <v>108</v>
      </c>
      <c r="O11" s="6"/>
      <c r="P11" s="6"/>
      <c r="Q11" s="6"/>
      <c r="R11" s="6"/>
      <c r="S11" s="6"/>
      <c r="T11" s="6"/>
      <c r="U11" s="6"/>
    </row>
    <row r="12" spans="1:21" ht="20" customHeight="1">
      <c r="A12">
        <v>42</v>
      </c>
      <c r="B12" t="s">
        <v>30</v>
      </c>
      <c r="C12" t="s">
        <v>31</v>
      </c>
      <c r="D12" t="s">
        <v>33</v>
      </c>
      <c r="E12">
        <v>2024</v>
      </c>
      <c r="F12">
        <v>2021.3</v>
      </c>
      <c r="H12">
        <v>21.7</v>
      </c>
      <c r="I12">
        <v>0</v>
      </c>
      <c r="K12">
        <f t="shared" si="0"/>
        <v>100</v>
      </c>
      <c r="L12" t="s">
        <v>107</v>
      </c>
      <c r="M12" t="s">
        <v>109</v>
      </c>
      <c r="O12" s="6"/>
      <c r="P12" s="6"/>
      <c r="Q12" s="6"/>
      <c r="R12" s="6"/>
      <c r="S12" s="6"/>
      <c r="T12" s="6"/>
      <c r="U12" s="6"/>
    </row>
    <row r="13" spans="1:21" ht="20" customHeight="1">
      <c r="A13">
        <v>42</v>
      </c>
      <c r="B13" t="s">
        <v>30</v>
      </c>
      <c r="C13" t="s">
        <v>31</v>
      </c>
      <c r="D13" t="s">
        <v>33</v>
      </c>
      <c r="E13">
        <v>2025</v>
      </c>
      <c r="F13">
        <v>1900</v>
      </c>
      <c r="H13">
        <v>0</v>
      </c>
      <c r="I13">
        <v>2.7</v>
      </c>
      <c r="J13">
        <v>323</v>
      </c>
      <c r="K13">
        <f t="shared" si="0"/>
        <v>-100</v>
      </c>
      <c r="L13" t="s">
        <v>107</v>
      </c>
      <c r="M13" t="s">
        <v>110</v>
      </c>
    </row>
    <row r="14" spans="1:21" ht="10" customHeight="1">
      <c r="A14">
        <v>45</v>
      </c>
      <c r="B14" t="s">
        <v>40</v>
      </c>
      <c r="C14" t="s">
        <v>41</v>
      </c>
      <c r="D14" t="s">
        <v>42</v>
      </c>
      <c r="E14">
        <v>2023</v>
      </c>
      <c r="F14">
        <v>74470</v>
      </c>
      <c r="G14">
        <v>15127</v>
      </c>
      <c r="H14">
        <v>1795</v>
      </c>
      <c r="I14">
        <v>0</v>
      </c>
      <c r="K14">
        <f t="shared" si="0"/>
        <v>100</v>
      </c>
      <c r="L14" t="s">
        <v>111</v>
      </c>
      <c r="M14" t="s">
        <v>112</v>
      </c>
    </row>
    <row r="15" spans="1:21" ht="10" customHeight="1">
      <c r="A15">
        <v>45</v>
      </c>
      <c r="B15" t="s">
        <v>40</v>
      </c>
      <c r="C15" t="s">
        <v>41</v>
      </c>
      <c r="D15" t="s">
        <v>42</v>
      </c>
      <c r="E15">
        <v>2024</v>
      </c>
      <c r="F15">
        <v>90260</v>
      </c>
      <c r="G15">
        <v>17290</v>
      </c>
      <c r="H15">
        <v>1630</v>
      </c>
      <c r="I15">
        <v>0</v>
      </c>
      <c r="K15">
        <f t="shared" si="0"/>
        <v>100</v>
      </c>
      <c r="L15" t="s">
        <v>111</v>
      </c>
      <c r="M15" t="s">
        <v>113</v>
      </c>
    </row>
    <row r="16" spans="1:21" ht="10" customHeight="1">
      <c r="A16">
        <v>45</v>
      </c>
      <c r="B16" t="s">
        <v>40</v>
      </c>
      <c r="C16" t="s">
        <v>41</v>
      </c>
      <c r="D16" t="s">
        <v>42</v>
      </c>
      <c r="E16">
        <v>2025</v>
      </c>
      <c r="F16">
        <v>104000</v>
      </c>
      <c r="H16">
        <v>637.6</v>
      </c>
      <c r="I16">
        <v>0</v>
      </c>
      <c r="K16">
        <f t="shared" si="0"/>
        <v>100</v>
      </c>
      <c r="L16" t="s">
        <v>111</v>
      </c>
      <c r="M16" t="s">
        <v>114</v>
      </c>
    </row>
    <row r="17" spans="1:13" ht="10" customHeight="1">
      <c r="A17">
        <v>49</v>
      </c>
      <c r="B17" t="s">
        <v>47</v>
      </c>
      <c r="C17" t="s">
        <v>46</v>
      </c>
      <c r="D17" t="s">
        <v>48</v>
      </c>
      <c r="E17">
        <v>2023</v>
      </c>
      <c r="J17">
        <v>186</v>
      </c>
      <c r="K17" t="str">
        <f t="shared" si="0"/>
        <v/>
      </c>
      <c r="L17" t="s">
        <v>115</v>
      </c>
      <c r="M17" t="s">
        <v>116</v>
      </c>
    </row>
    <row r="18" spans="1:13" ht="10" customHeight="1">
      <c r="A18">
        <v>49</v>
      </c>
      <c r="B18" t="s">
        <v>47</v>
      </c>
      <c r="C18" t="s">
        <v>46</v>
      </c>
      <c r="D18" t="s">
        <v>48</v>
      </c>
      <c r="E18">
        <v>2024</v>
      </c>
      <c r="F18">
        <v>1574.8</v>
      </c>
      <c r="H18">
        <v>62.8</v>
      </c>
      <c r="I18">
        <v>0</v>
      </c>
      <c r="J18">
        <v>294</v>
      </c>
      <c r="K18">
        <f t="shared" si="0"/>
        <v>100</v>
      </c>
      <c r="L18" t="s">
        <v>115</v>
      </c>
      <c r="M18" t="s">
        <v>117</v>
      </c>
    </row>
    <row r="19" spans="1:13" ht="10" customHeight="1">
      <c r="A19">
        <v>49</v>
      </c>
      <c r="B19" t="s">
        <v>47</v>
      </c>
      <c r="C19" t="s">
        <v>46</v>
      </c>
      <c r="D19" t="s">
        <v>48</v>
      </c>
      <c r="E19">
        <v>2025</v>
      </c>
      <c r="F19">
        <v>2000</v>
      </c>
      <c r="H19">
        <v>55.9</v>
      </c>
      <c r="I19">
        <v>0</v>
      </c>
      <c r="J19">
        <v>366</v>
      </c>
      <c r="K19">
        <f t="shared" si="0"/>
        <v>100</v>
      </c>
      <c r="L19" t="s">
        <v>115</v>
      </c>
      <c r="M19" t="s">
        <v>118</v>
      </c>
    </row>
    <row r="20" spans="1:13" ht="10" customHeight="1">
      <c r="A20">
        <v>51</v>
      </c>
      <c r="B20" t="s">
        <v>50</v>
      </c>
      <c r="C20" t="s">
        <v>46</v>
      </c>
      <c r="D20" t="s">
        <v>51</v>
      </c>
      <c r="E20">
        <v>2023</v>
      </c>
      <c r="F20">
        <v>20170</v>
      </c>
      <c r="G20">
        <v>14952</v>
      </c>
      <c r="H20">
        <v>3000</v>
      </c>
      <c r="I20">
        <v>0</v>
      </c>
      <c r="K20">
        <f t="shared" si="0"/>
        <v>100</v>
      </c>
      <c r="L20" t="s">
        <v>119</v>
      </c>
      <c r="M20" t="s">
        <v>120</v>
      </c>
    </row>
    <row r="21" spans="1:13" ht="10" customHeight="1">
      <c r="A21">
        <v>51</v>
      </c>
      <c r="B21" t="s">
        <v>50</v>
      </c>
      <c r="C21" t="s">
        <v>46</v>
      </c>
      <c r="D21" t="s">
        <v>51</v>
      </c>
      <c r="E21">
        <v>2024</v>
      </c>
      <c r="F21">
        <v>25900</v>
      </c>
      <c r="G21">
        <v>20140</v>
      </c>
      <c r="H21">
        <v>5680</v>
      </c>
      <c r="I21">
        <v>0</v>
      </c>
      <c r="K21">
        <f t="shared" si="0"/>
        <v>100</v>
      </c>
      <c r="L21" t="s">
        <v>119</v>
      </c>
      <c r="M21" t="s">
        <v>121</v>
      </c>
    </row>
    <row r="22" spans="1:13" ht="10" customHeight="1">
      <c r="A22">
        <v>51</v>
      </c>
      <c r="B22" t="s">
        <v>50</v>
      </c>
      <c r="C22" t="s">
        <v>46</v>
      </c>
      <c r="D22" t="s">
        <v>51</v>
      </c>
      <c r="E22">
        <v>2025</v>
      </c>
      <c r="F22">
        <v>30800</v>
      </c>
      <c r="H22">
        <v>4100</v>
      </c>
      <c r="I22">
        <v>0</v>
      </c>
      <c r="K22">
        <f t="shared" si="0"/>
        <v>100</v>
      </c>
      <c r="L22" t="s">
        <v>119</v>
      </c>
      <c r="M22" t="s">
        <v>122</v>
      </c>
    </row>
    <row r="23" spans="1:13" ht="10" customHeight="1">
      <c r="A23">
        <v>52</v>
      </c>
      <c r="B23" t="s">
        <v>52</v>
      </c>
      <c r="C23" t="s">
        <v>46</v>
      </c>
      <c r="D23" t="s">
        <v>53</v>
      </c>
      <c r="E23">
        <v>2023</v>
      </c>
      <c r="F23">
        <v>155750</v>
      </c>
      <c r="G23">
        <v>27500</v>
      </c>
      <c r="H23">
        <v>14170</v>
      </c>
      <c r="I23">
        <v>0</v>
      </c>
      <c r="K23">
        <f t="shared" si="0"/>
        <v>100</v>
      </c>
      <c r="L23" t="s">
        <v>123</v>
      </c>
      <c r="M23" t="s">
        <v>124</v>
      </c>
    </row>
    <row r="24" spans="1:13" ht="10" customHeight="1">
      <c r="A24">
        <v>52</v>
      </c>
      <c r="B24" t="s">
        <v>52</v>
      </c>
      <c r="C24" t="s">
        <v>46</v>
      </c>
      <c r="D24" t="s">
        <v>53</v>
      </c>
      <c r="E24">
        <v>2024</v>
      </c>
      <c r="F24">
        <v>187360</v>
      </c>
      <c r="G24">
        <v>35400</v>
      </c>
      <c r="H24">
        <v>16960</v>
      </c>
      <c r="I24">
        <v>0</v>
      </c>
      <c r="K24">
        <f t="shared" si="0"/>
        <v>100</v>
      </c>
      <c r="L24" t="s">
        <v>123</v>
      </c>
      <c r="M24" t="s">
        <v>125</v>
      </c>
    </row>
    <row r="25" spans="1:13" ht="10" customHeight="1">
      <c r="A25">
        <v>52</v>
      </c>
      <c r="B25" t="s">
        <v>52</v>
      </c>
      <c r="C25" t="s">
        <v>46</v>
      </c>
      <c r="D25" t="s">
        <v>53</v>
      </c>
      <c r="E25">
        <v>2025</v>
      </c>
      <c r="F25">
        <v>218600</v>
      </c>
      <c r="G25">
        <v>37900</v>
      </c>
      <c r="H25">
        <v>14400</v>
      </c>
      <c r="I25">
        <v>0</v>
      </c>
      <c r="K25">
        <f t="shared" si="0"/>
        <v>100</v>
      </c>
      <c r="L25" t="s">
        <v>123</v>
      </c>
      <c r="M25" t="s">
        <v>126</v>
      </c>
    </row>
    <row r="26" spans="1:13" ht="10" customHeight="1">
      <c r="A26">
        <v>64</v>
      </c>
      <c r="B26" t="s">
        <v>70</v>
      </c>
      <c r="C26" t="s">
        <v>69</v>
      </c>
      <c r="D26" t="s">
        <v>71</v>
      </c>
      <c r="E26">
        <v>2023</v>
      </c>
      <c r="K26" t="str">
        <f t="shared" si="0"/>
        <v/>
      </c>
      <c r="L26" t="s">
        <v>130</v>
      </c>
      <c r="M26" t="s">
        <v>131</v>
      </c>
    </row>
    <row r="27" spans="1:13" ht="10" customHeight="1">
      <c r="A27">
        <v>64</v>
      </c>
      <c r="B27" t="s">
        <v>70</v>
      </c>
      <c r="C27" t="s">
        <v>69</v>
      </c>
      <c r="D27" t="s">
        <v>71</v>
      </c>
      <c r="E27">
        <v>2024</v>
      </c>
      <c r="K27" t="str">
        <f t="shared" si="0"/>
        <v/>
      </c>
      <c r="L27" t="s">
        <v>130</v>
      </c>
      <c r="M27" t="s">
        <v>131</v>
      </c>
    </row>
    <row r="28" spans="1:13" ht="10" customHeight="1">
      <c r="A28">
        <v>64</v>
      </c>
      <c r="B28" t="s">
        <v>70</v>
      </c>
      <c r="C28" t="s">
        <v>69</v>
      </c>
      <c r="D28" t="s">
        <v>71</v>
      </c>
      <c r="E28">
        <v>2025</v>
      </c>
      <c r="F28">
        <v>0</v>
      </c>
      <c r="H28">
        <v>0</v>
      </c>
      <c r="I28">
        <v>0.70899999999999996</v>
      </c>
      <c r="K28">
        <f t="shared" si="0"/>
        <v>-100</v>
      </c>
      <c r="L28" t="s">
        <v>130</v>
      </c>
      <c r="M28" t="s">
        <v>132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Описание</vt:lpstr>
      <vt:lpstr>Выборка_40</vt:lpstr>
      <vt:lpstr>Фин_данные</vt:lpstr>
      <vt:lpstr>Рейтинг</vt:lpstr>
      <vt:lpstr>Топ_6_и_графики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dfsdfsdf fgdfsgsfd</cp:lastModifiedBy>
  <dcterms:modified xsi:type="dcterms:W3CDTF">2026-06-11T12:26:23Z</dcterms:modified>
</cp:coreProperties>
</file>